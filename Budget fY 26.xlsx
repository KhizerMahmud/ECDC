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Y 26\No Name\"/>
    </mc:Choice>
  </mc:AlternateContent>
  <xr:revisionPtr revIDLastSave="0" documentId="13_ncr:1_{66930329-DDAC-4059-8005-FEE196A060B8}" xr6:coauthVersionLast="47" xr6:coauthVersionMax="47" xr10:uidLastSave="{00000000-0000-0000-0000-000000000000}"/>
  <bookViews>
    <workbookView xWindow="-28920" yWindow="-120" windowWidth="29040" windowHeight="15840" tabRatio="576" activeTab="1" xr2:uid="{3A6E2B41-E68A-4428-99C1-2641EF03CCC5}"/>
  </bookViews>
  <sheets>
    <sheet name="FY 25" sheetId="1" r:id="rId1"/>
    <sheet name="FY26" sheetId="2" r:id="rId2"/>
    <sheet name="Open Position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Print_Area" localSheetId="0">'FY 25'!$CA$14:$CA$43</definedName>
    <definedName name="_xlnm.Print_Area" localSheetId="1">'FY26'!$B$115:$F$202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2" i="2" l="1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202" i="2" l="1"/>
  <c r="BH46" i="2" l="1"/>
  <c r="BH12" i="2"/>
  <c r="BB93" i="2" l="1"/>
  <c r="BB92" i="2"/>
  <c r="BB91" i="2"/>
  <c r="BB90" i="2"/>
  <c r="BB89" i="2"/>
  <c r="BB88" i="2"/>
  <c r="BB87" i="2"/>
  <c r="BB86" i="2"/>
  <c r="BB85" i="2"/>
  <c r="BB84" i="2"/>
  <c r="BB83" i="2"/>
  <c r="BB81" i="2"/>
  <c r="BB80" i="2"/>
  <c r="BB79" i="2"/>
  <c r="BB78" i="2"/>
  <c r="BB77" i="2"/>
  <c r="BB76" i="2"/>
  <c r="BB75" i="2"/>
  <c r="BB74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1" i="2"/>
  <c r="BB50" i="2"/>
  <c r="BB49" i="2"/>
  <c r="BB48" i="2"/>
  <c r="BB47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8" i="2"/>
  <c r="BB7" i="2"/>
  <c r="BB6" i="2"/>
  <c r="BB5" i="2"/>
  <c r="BB4" i="2"/>
  <c r="AK88" i="2"/>
  <c r="AK87" i="2"/>
  <c r="AK86" i="2"/>
  <c r="AK85" i="2"/>
  <c r="AK84" i="2"/>
  <c r="AK83" i="2"/>
  <c r="AK82" i="2"/>
  <c r="AK81" i="2"/>
  <c r="AK79" i="2"/>
  <c r="AK78" i="2"/>
  <c r="AK77" i="2"/>
  <c r="AA93" i="2" l="1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Y94" i="2" l="1"/>
  <c r="X94" i="2"/>
  <c r="W94" i="2"/>
  <c r="V94" i="2"/>
  <c r="U94" i="2"/>
  <c r="T94" i="2"/>
  <c r="S94" i="2"/>
  <c r="R94" i="2"/>
  <c r="Q94" i="2"/>
  <c r="P94" i="2"/>
  <c r="O93" i="2"/>
  <c r="O92" i="2"/>
  <c r="O91" i="2"/>
  <c r="O90" i="2"/>
  <c r="O89" i="2"/>
  <c r="O88" i="2"/>
  <c r="E88" i="2" s="1"/>
  <c r="F88" i="2" s="1"/>
  <c r="O87" i="2"/>
  <c r="E87" i="2" s="1"/>
  <c r="F87" i="2" s="1"/>
  <c r="O86" i="2"/>
  <c r="E86" i="2" s="1"/>
  <c r="F86" i="2" s="1"/>
  <c r="O85" i="2"/>
  <c r="E85" i="2" s="1"/>
  <c r="F85" i="2" s="1"/>
  <c r="O84" i="2"/>
  <c r="E84" i="2" s="1"/>
  <c r="F84" i="2" s="1"/>
  <c r="O83" i="2"/>
  <c r="E83" i="2" s="1"/>
  <c r="F83" i="2" s="1"/>
  <c r="O82" i="2"/>
  <c r="O81" i="2"/>
  <c r="O80" i="2"/>
  <c r="O79" i="2"/>
  <c r="O78" i="2"/>
  <c r="O77" i="2"/>
  <c r="E77" i="2" s="1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2" i="2"/>
  <c r="O21" i="2"/>
  <c r="O20" i="2"/>
  <c r="O19" i="2"/>
  <c r="O18" i="2"/>
  <c r="O17" i="2"/>
  <c r="O15" i="2"/>
  <c r="O14" i="2"/>
  <c r="O13" i="2"/>
  <c r="O12" i="2"/>
  <c r="O11" i="2"/>
  <c r="O10" i="2"/>
  <c r="O9" i="2"/>
  <c r="O8" i="2"/>
  <c r="O7" i="2"/>
  <c r="O6" i="2"/>
  <c r="O5" i="2"/>
  <c r="O4" i="2"/>
  <c r="M94" i="2"/>
  <c r="L94" i="2"/>
  <c r="K94" i="2"/>
  <c r="J94" i="2"/>
  <c r="I94" i="2"/>
  <c r="H94" i="2"/>
  <c r="G94" i="2"/>
  <c r="BB46" i="2" l="1"/>
  <c r="AP65" i="2"/>
  <c r="AP68" i="2"/>
  <c r="AT70" i="2"/>
  <c r="AT64" i="2"/>
  <c r="AF64" i="2"/>
  <c r="AF61" i="2"/>
  <c r="AL35" i="2"/>
  <c r="AL56" i="2"/>
  <c r="AL65" i="2"/>
  <c r="AL64" i="2"/>
  <c r="AM53" i="2"/>
  <c r="AM64" i="2"/>
  <c r="D46" i="2"/>
  <c r="AW41" i="2"/>
  <c r="AW23" i="2"/>
  <c r="AS64" i="2"/>
  <c r="AS65" i="2"/>
  <c r="AS41" i="2"/>
  <c r="D28" i="2"/>
  <c r="BB9" i="2"/>
  <c r="BB73" i="2"/>
  <c r="BB52" i="2"/>
  <c r="BB82" i="2"/>
  <c r="E82" i="2" s="1"/>
  <c r="D202" i="2"/>
  <c r="C202" i="2"/>
  <c r="B196" i="2"/>
  <c r="BB94" i="2" l="1"/>
  <c r="AQ116" i="2"/>
  <c r="E9" i="3" l="1"/>
  <c r="R27" i="3"/>
  <c r="R26" i="3"/>
  <c r="R25" i="3"/>
  <c r="R24" i="3"/>
  <c r="R23" i="3"/>
  <c r="R22" i="3"/>
  <c r="R21" i="3"/>
  <c r="R20" i="3"/>
  <c r="R19" i="3"/>
  <c r="Q28" i="3"/>
  <c r="P28" i="3"/>
  <c r="O28" i="3"/>
  <c r="N28" i="3"/>
  <c r="M28" i="3"/>
  <c r="L28" i="3"/>
  <c r="K28" i="3"/>
  <c r="G28" i="3"/>
  <c r="E28" i="3"/>
  <c r="D27" i="3"/>
  <c r="D26" i="3"/>
  <c r="D25" i="3"/>
  <c r="D19" i="3"/>
  <c r="D20" i="3" s="1"/>
  <c r="D21" i="3" s="1"/>
  <c r="D22" i="3" s="1"/>
  <c r="D24" i="3" s="1"/>
  <c r="J18" i="3"/>
  <c r="R18" i="3" s="1"/>
  <c r="D18" i="3"/>
  <c r="F17" i="3"/>
  <c r="R17" i="3" s="1"/>
  <c r="D17" i="3"/>
  <c r="F16" i="3"/>
  <c r="R16" i="3" s="1"/>
  <c r="D16" i="3"/>
  <c r="D15" i="3"/>
  <c r="H14" i="3"/>
  <c r="R14" i="3" s="1"/>
  <c r="D14" i="3"/>
  <c r="D13" i="3"/>
  <c r="D12" i="3"/>
  <c r="H11" i="3"/>
  <c r="AE63" i="2"/>
  <c r="H15" i="3" s="1"/>
  <c r="R15" i="3" s="1"/>
  <c r="AG10" i="2"/>
  <c r="H28" i="3" l="1"/>
  <c r="J28" i="3"/>
  <c r="R11" i="3"/>
  <c r="F28" i="3"/>
  <c r="D23" i="3"/>
  <c r="D82" i="2"/>
  <c r="F82" i="2" s="1"/>
  <c r="D52" i="2"/>
  <c r="D74" i="2"/>
  <c r="D77" i="2"/>
  <c r="F77" i="2" s="1"/>
  <c r="D76" i="2"/>
  <c r="AG11" i="2"/>
  <c r="D25" i="2"/>
  <c r="AJ32" i="2"/>
  <c r="I12" i="3" s="1"/>
  <c r="R12" i="3" s="1"/>
  <c r="AJ33" i="2"/>
  <c r="I13" i="3" s="1"/>
  <c r="R13" i="3" s="1"/>
  <c r="R28" i="3" l="1"/>
  <c r="I28" i="3"/>
  <c r="BL82" i="2"/>
  <c r="BM82" i="2" s="1"/>
  <c r="BD94" i="2" l="1"/>
  <c r="AO54" i="2" l="1"/>
  <c r="AO48" i="2"/>
  <c r="AO43" i="2"/>
  <c r="AO35" i="2"/>
  <c r="AO24" i="2"/>
  <c r="AO23" i="2"/>
  <c r="AO19" i="2"/>
  <c r="AO16" i="2"/>
  <c r="AO13" i="2"/>
  <c r="AO5" i="2"/>
  <c r="AU92" i="2" l="1"/>
  <c r="AU91" i="2"/>
  <c r="AU89" i="2"/>
  <c r="AU81" i="2"/>
  <c r="E81" i="2" s="1"/>
  <c r="F81" i="2" s="1"/>
  <c r="AU80" i="2"/>
  <c r="AU79" i="2"/>
  <c r="E79" i="2" s="1"/>
  <c r="F79" i="2" s="1"/>
  <c r="AU78" i="2"/>
  <c r="E78" i="2" s="1"/>
  <c r="AU76" i="2"/>
  <c r="AU75" i="2"/>
  <c r="AU73" i="2"/>
  <c r="AH108" i="2" l="1"/>
  <c r="AJ108" i="2"/>
  <c r="AK52" i="2" l="1"/>
  <c r="E52" i="2" s="1"/>
  <c r="F52" i="2" s="1"/>
  <c r="AK54" i="2"/>
  <c r="AK40" i="2"/>
  <c r="E40" i="2" s="1"/>
  <c r="AK76" i="2"/>
  <c r="E76" i="2" s="1"/>
  <c r="F76" i="2" s="1"/>
  <c r="AK75" i="2"/>
  <c r="E75" i="2" s="1"/>
  <c r="F75" i="2" s="1"/>
  <c r="AY94" i="2"/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80" i="2" s="1"/>
  <c r="A81" i="2" s="1"/>
  <c r="A89" i="2" s="1"/>
  <c r="A90" i="2" s="1"/>
  <c r="A91" i="2" s="1"/>
  <c r="A93" i="2" s="1"/>
  <c r="AG94" i="2" l="1"/>
  <c r="D40" i="2"/>
  <c r="F40" i="2" s="1"/>
  <c r="BL40" i="2" l="1"/>
  <c r="BM40" i="2" s="1"/>
  <c r="BF94" i="2" l="1"/>
  <c r="C92" i="2"/>
  <c r="C81" i="2"/>
  <c r="C80" i="2"/>
  <c r="C79" i="2"/>
  <c r="C93" i="2"/>
  <c r="C78" i="2"/>
  <c r="D78" i="2" s="1"/>
  <c r="F78" i="2" s="1"/>
  <c r="D72" i="2"/>
  <c r="D71" i="2"/>
  <c r="D70" i="2"/>
  <c r="D68" i="2"/>
  <c r="D67" i="2"/>
  <c r="D66" i="2"/>
  <c r="D65" i="2"/>
  <c r="D64" i="2"/>
  <c r="D62" i="2"/>
  <c r="D61" i="2"/>
  <c r="D60" i="2"/>
  <c r="D58" i="2"/>
  <c r="D57" i="2"/>
  <c r="D56" i="2"/>
  <c r="D55" i="2"/>
  <c r="D50" i="2"/>
  <c r="D49" i="2"/>
  <c r="D91" i="2"/>
  <c r="D47" i="2"/>
  <c r="D45" i="2"/>
  <c r="D44" i="2"/>
  <c r="D43" i="2"/>
  <c r="D42" i="2"/>
  <c r="D41" i="2"/>
  <c r="D39" i="2"/>
  <c r="D38" i="2"/>
  <c r="D37" i="2"/>
  <c r="D36" i="2"/>
  <c r="D35" i="2"/>
  <c r="D34" i="2"/>
  <c r="D33" i="2"/>
  <c r="D32" i="2"/>
  <c r="D31" i="2"/>
  <c r="D30" i="2"/>
  <c r="D29" i="2"/>
  <c r="D27" i="2"/>
  <c r="D26" i="2"/>
  <c r="D24" i="2"/>
  <c r="D23" i="2"/>
  <c r="D22" i="2"/>
  <c r="D21" i="2"/>
  <c r="D20" i="2"/>
  <c r="D19" i="2"/>
  <c r="D18" i="2"/>
  <c r="D17" i="2"/>
  <c r="D69" i="2"/>
  <c r="D90" i="2"/>
  <c r="D16" i="2"/>
  <c r="D15" i="2"/>
  <c r="D14" i="2"/>
  <c r="D13" i="2"/>
  <c r="D12" i="2"/>
  <c r="D11" i="2"/>
  <c r="D10" i="2"/>
  <c r="D9" i="2"/>
  <c r="D8" i="2"/>
  <c r="D7" i="2"/>
  <c r="D6" i="2"/>
  <c r="D5" i="2"/>
  <c r="D59" i="2"/>
  <c r="D4" i="2"/>
  <c r="C73" i="2"/>
  <c r="D73" i="2" s="1"/>
  <c r="C54" i="2"/>
  <c r="D54" i="2" s="1"/>
  <c r="C51" i="2"/>
  <c r="D51" i="2" s="1"/>
  <c r="C48" i="2"/>
  <c r="D48" i="2" s="1"/>
  <c r="C53" i="2"/>
  <c r="D53" i="2" s="1"/>
  <c r="BL10" i="2" l="1"/>
  <c r="BM10" i="2" s="1"/>
  <c r="AK8" i="2" l="1"/>
  <c r="BA94" i="2"/>
  <c r="AI94" i="2"/>
  <c r="AZ94" i="2" l="1"/>
  <c r="Z94" i="2" l="1"/>
  <c r="AK4" i="2"/>
  <c r="AU4" i="2"/>
  <c r="BG4" i="2"/>
  <c r="E4" i="2" l="1"/>
  <c r="F4" i="2" s="1"/>
  <c r="BG94" i="2"/>
  <c r="N48" i="2" l="1"/>
  <c r="O48" i="2" s="1"/>
  <c r="N16" i="2"/>
  <c r="O16" i="2" s="1"/>
  <c r="N23" i="2" l="1"/>
  <c r="O23" i="2" s="1"/>
  <c r="N94" i="2" l="1"/>
  <c r="AN13" i="2" l="1"/>
  <c r="AV107" i="2" l="1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K73" i="2" l="1"/>
  <c r="E73" i="2" s="1"/>
  <c r="F73" i="2" s="1"/>
  <c r="AU44" i="2" l="1"/>
  <c r="AU67" i="2"/>
  <c r="AU66" i="2"/>
  <c r="AK93" i="2"/>
  <c r="AK68" i="2"/>
  <c r="AK67" i="2"/>
  <c r="E67" i="2" s="1"/>
  <c r="F67" i="2" s="1"/>
  <c r="AK89" i="2" l="1"/>
  <c r="E89" i="2" s="1"/>
  <c r="F89" i="2" s="1"/>
  <c r="B89" i="2"/>
  <c r="AD92" i="2" l="1"/>
  <c r="AK92" i="2" s="1"/>
  <c r="E92" i="2" s="1"/>
  <c r="F92" i="2" s="1"/>
  <c r="AD80" i="2"/>
  <c r="AK80" i="2" s="1"/>
  <c r="E80" i="2" s="1"/>
  <c r="F80" i="2" s="1"/>
  <c r="AU71" i="2" l="1"/>
  <c r="AU62" i="2"/>
  <c r="AU61" i="2"/>
  <c r="AU60" i="2"/>
  <c r="AL48" i="2"/>
  <c r="AL43" i="2"/>
  <c r="AL23" i="2"/>
  <c r="AL74" i="2"/>
  <c r="AT7" i="2"/>
  <c r="AT16" i="2"/>
  <c r="AT13" i="2"/>
  <c r="AT23" i="2"/>
  <c r="AT35" i="2"/>
  <c r="AT39" i="2"/>
  <c r="AT43" i="2"/>
  <c r="AT47" i="2"/>
  <c r="AT48" i="2"/>
  <c r="AT65" i="2"/>
  <c r="AS23" i="2"/>
  <c r="AS70" i="2"/>
  <c r="AS7" i="2"/>
  <c r="AS30" i="2"/>
  <c r="AS35" i="2"/>
  <c r="AS39" i="2"/>
  <c r="AS43" i="2"/>
  <c r="AS47" i="2"/>
  <c r="AS48" i="2"/>
  <c r="AR16" i="2"/>
  <c r="AR13" i="2"/>
  <c r="AR23" i="2"/>
  <c r="AR35" i="2"/>
  <c r="AR70" i="2"/>
  <c r="AR48" i="2"/>
  <c r="AR7" i="2"/>
  <c r="AR39" i="2"/>
  <c r="AR47" i="2"/>
  <c r="AR43" i="2"/>
  <c r="AR65" i="2"/>
  <c r="AR64" i="2"/>
  <c r="AQ74" i="2"/>
  <c r="AQ68" i="2"/>
  <c r="AQ23" i="2"/>
  <c r="AQ26" i="2"/>
  <c r="AQ35" i="2"/>
  <c r="AQ43" i="2"/>
  <c r="AQ48" i="2"/>
  <c r="AQ65" i="2"/>
  <c r="AQ64" i="2"/>
  <c r="AU68" i="2"/>
  <c r="E68" i="2" s="1"/>
  <c r="F68" i="2" s="1"/>
  <c r="AP74" i="2"/>
  <c r="AP26" i="2"/>
  <c r="AP23" i="2"/>
  <c r="AP48" i="2"/>
  <c r="AP35" i="2"/>
  <c r="AP43" i="2"/>
  <c r="AP64" i="2"/>
  <c r="AO65" i="2"/>
  <c r="AO64" i="2"/>
  <c r="AO93" i="2"/>
  <c r="AU93" i="2" s="1"/>
  <c r="E93" i="2" s="1"/>
  <c r="F93" i="2" s="1"/>
  <c r="AU54" i="2"/>
  <c r="E54" i="2" s="1"/>
  <c r="F54" i="2" s="1"/>
  <c r="AO72" i="2"/>
  <c r="AO53" i="2"/>
  <c r="AO90" i="2"/>
  <c r="AU90" i="2" s="1"/>
  <c r="AO58" i="2"/>
  <c r="AO59" i="2"/>
  <c r="AN59" i="2"/>
  <c r="AN29" i="2"/>
  <c r="AN65" i="2"/>
  <c r="AN64" i="2"/>
  <c r="AN20" i="2"/>
  <c r="AN23" i="2"/>
  <c r="AN43" i="2"/>
  <c r="AN35" i="2"/>
  <c r="AN48" i="2"/>
  <c r="AN74" i="2"/>
  <c r="AN16" i="2"/>
  <c r="AM48" i="2"/>
  <c r="AM23" i="2"/>
  <c r="AM35" i="2"/>
  <c r="AM42" i="2"/>
  <c r="AM43" i="2"/>
  <c r="AM65" i="2"/>
  <c r="AU74" i="2" l="1"/>
  <c r="AU64" i="2"/>
  <c r="AU70" i="2"/>
  <c r="AU65" i="2"/>
  <c r="BL93" i="2" l="1"/>
  <c r="BM93" i="2" s="1"/>
  <c r="BL60" i="2" l="1"/>
  <c r="BM60" i="2" s="1"/>
  <c r="BL81" i="2" l="1"/>
  <c r="BM81" i="2" s="1"/>
  <c r="CA87" i="1" l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20" i="1"/>
  <c r="CA19" i="1"/>
  <c r="CA18" i="1"/>
  <c r="CA17" i="1"/>
  <c r="CA16" i="1"/>
  <c r="CA15" i="1"/>
  <c r="CA14" i="1"/>
  <c r="CA13" i="1"/>
  <c r="CA12" i="1"/>
  <c r="CA11" i="1"/>
  <c r="CA10" i="1"/>
  <c r="CA9" i="1"/>
  <c r="CA8" i="1"/>
  <c r="CA7" i="1"/>
  <c r="CA6" i="1"/>
  <c r="CA5" i="1"/>
  <c r="CB85" i="1" l="1"/>
  <c r="AK71" i="2" l="1"/>
  <c r="E71" i="2" s="1"/>
  <c r="F71" i="2" s="1"/>
  <c r="AK66" i="2"/>
  <c r="E66" i="2" s="1"/>
  <c r="F66" i="2" s="1"/>
  <c r="AK65" i="2"/>
  <c r="E65" i="2" s="1"/>
  <c r="F65" i="2" s="1"/>
  <c r="AK64" i="2"/>
  <c r="E64" i="2" s="1"/>
  <c r="F64" i="2" s="1"/>
  <c r="AK62" i="2"/>
  <c r="E62" i="2" s="1"/>
  <c r="F62" i="2" s="1"/>
  <c r="AK61" i="2"/>
  <c r="E61" i="2" s="1"/>
  <c r="F61" i="2" s="1"/>
  <c r="BL80" i="2"/>
  <c r="BM80" i="2" s="1"/>
  <c r="BL79" i="2"/>
  <c r="BM79" i="2" s="1"/>
  <c r="BL68" i="2"/>
  <c r="BM68" i="2" s="1"/>
  <c r="BL65" i="2"/>
  <c r="BM65" i="2" s="1"/>
  <c r="BL66" i="2" l="1"/>
  <c r="BM66" i="2" s="1"/>
  <c r="BL67" i="2"/>
  <c r="BM67" i="2" s="1"/>
  <c r="BL74" i="2" l="1"/>
  <c r="BM74" i="2" s="1"/>
  <c r="AK57" i="2"/>
  <c r="BL63" i="2" l="1"/>
  <c r="BM63" i="2" s="1"/>
  <c r="BL62" i="2"/>
  <c r="BM62" i="2" s="1"/>
  <c r="BL61" i="2"/>
  <c r="BM61" i="2" s="1"/>
  <c r="BL59" i="2"/>
  <c r="BM59" i="2" s="1"/>
  <c r="BL12" i="2"/>
  <c r="BM12" i="2" s="1"/>
  <c r="BL58" i="2"/>
  <c r="BM58" i="2" s="1"/>
  <c r="BL57" i="2"/>
  <c r="BM57" i="2" s="1"/>
  <c r="BL56" i="2"/>
  <c r="BM56" i="2" s="1"/>
  <c r="BL55" i="2"/>
  <c r="BM55" i="2" s="1"/>
  <c r="BL54" i="2"/>
  <c r="BM54" i="2" s="1"/>
  <c r="BL9" i="2"/>
  <c r="BM9" i="2" s="1"/>
  <c r="BL53" i="2"/>
  <c r="BM53" i="2" s="1"/>
  <c r="BL52" i="2"/>
  <c r="BM52" i="2" s="1"/>
  <c r="BL51" i="2"/>
  <c r="BM51" i="2" s="1"/>
  <c r="BL49" i="2"/>
  <c r="BM49" i="2" s="1"/>
  <c r="BL48" i="2"/>
  <c r="BM48" i="2" s="1"/>
  <c r="BL47" i="2"/>
  <c r="BM47" i="2" s="1"/>
  <c r="BL46" i="2"/>
  <c r="BM46" i="2" s="1"/>
  <c r="BL45" i="2"/>
  <c r="BM45" i="2" s="1"/>
  <c r="BL43" i="2"/>
  <c r="BM43" i="2" s="1"/>
  <c r="BL42" i="2"/>
  <c r="BM42" i="2" s="1"/>
  <c r="BL41" i="2"/>
  <c r="BM41" i="2" s="1"/>
  <c r="BL39" i="2"/>
  <c r="BM39" i="2" s="1"/>
  <c r="BL64" i="2"/>
  <c r="BM64" i="2" s="1"/>
  <c r="BL38" i="2"/>
  <c r="BM38" i="2" s="1"/>
  <c r="BL37" i="2"/>
  <c r="BM37" i="2" s="1"/>
  <c r="BL36" i="2"/>
  <c r="BM36" i="2" s="1"/>
  <c r="BL35" i="2"/>
  <c r="BM35" i="2" s="1"/>
  <c r="BL34" i="2"/>
  <c r="BM34" i="2" s="1"/>
  <c r="BL33" i="2"/>
  <c r="BM33" i="2" s="1"/>
  <c r="BL32" i="2"/>
  <c r="BM32" i="2" s="1"/>
  <c r="BL31" i="2"/>
  <c r="BM31" i="2" s="1"/>
  <c r="BL30" i="2"/>
  <c r="BM30" i="2" s="1"/>
  <c r="BL29" i="2"/>
  <c r="BM29" i="2" s="1"/>
  <c r="BL28" i="2"/>
  <c r="BM28" i="2" s="1"/>
  <c r="BL27" i="2"/>
  <c r="BM27" i="2" s="1"/>
  <c r="BL26" i="2"/>
  <c r="BM26" i="2" s="1"/>
  <c r="BL25" i="2"/>
  <c r="BM25" i="2" s="1"/>
  <c r="BL24" i="2"/>
  <c r="BM24" i="2" s="1"/>
  <c r="BL23" i="2"/>
  <c r="BM23" i="2" s="1"/>
  <c r="BL22" i="2"/>
  <c r="BM22" i="2" s="1"/>
  <c r="BL21" i="2"/>
  <c r="BM21" i="2" s="1"/>
  <c r="BL20" i="2"/>
  <c r="BM20" i="2" s="1"/>
  <c r="BL19" i="2"/>
  <c r="BM19" i="2" s="1"/>
  <c r="BL18" i="2"/>
  <c r="BM18" i="2" s="1"/>
  <c r="BL17" i="2"/>
  <c r="BM17" i="2" s="1"/>
  <c r="BL16" i="2"/>
  <c r="BM16" i="2" s="1"/>
  <c r="BL15" i="2"/>
  <c r="BM15" i="2" s="1"/>
  <c r="BL14" i="2"/>
  <c r="BM14" i="2" s="1"/>
  <c r="BL13" i="2"/>
  <c r="BM13" i="2" s="1"/>
  <c r="BL8" i="2"/>
  <c r="BM8" i="2" s="1"/>
  <c r="BL11" i="2"/>
  <c r="BM11" i="2" s="1"/>
  <c r="BL7" i="2"/>
  <c r="BM7" i="2" s="1"/>
  <c r="BL6" i="2"/>
  <c r="BM6" i="2" s="1"/>
  <c r="BL5" i="2"/>
  <c r="BM5" i="2" s="1"/>
  <c r="BL4" i="2"/>
  <c r="BM4" i="2" s="1"/>
  <c r="BL50" i="2"/>
  <c r="BM50" i="2" s="1"/>
  <c r="BL44" i="2"/>
  <c r="BM44" i="2" s="1"/>
  <c r="AS94" i="2"/>
  <c r="AU55" i="2"/>
  <c r="AT94" i="2"/>
  <c r="BJ94" i="2"/>
  <c r="BE94" i="2"/>
  <c r="AW94" i="2"/>
  <c r="AV94" i="2"/>
  <c r="AQ94" i="2"/>
  <c r="AO94" i="2"/>
  <c r="AM94" i="2"/>
  <c r="AH94" i="2"/>
  <c r="AF94" i="2"/>
  <c r="AG108" i="2" s="1"/>
  <c r="AE94" i="2"/>
  <c r="AF108" i="2" s="1"/>
  <c r="AC94" i="2"/>
  <c r="AB94" i="2"/>
  <c r="AC108" i="2" s="1"/>
  <c r="AU72" i="2"/>
  <c r="AK72" i="2"/>
  <c r="E72" i="2" s="1"/>
  <c r="F72" i="2" s="1"/>
  <c r="AK70" i="2"/>
  <c r="E70" i="2" s="1"/>
  <c r="F70" i="2" s="1"/>
  <c r="AK60" i="2"/>
  <c r="E60" i="2" s="1"/>
  <c r="F60" i="2" s="1"/>
  <c r="AU57" i="2"/>
  <c r="E57" i="2" s="1"/>
  <c r="F57" i="2" s="1"/>
  <c r="AU56" i="2"/>
  <c r="AK56" i="2"/>
  <c r="BI94" i="2"/>
  <c r="AR94" i="2"/>
  <c r="AP94" i="2"/>
  <c r="AQ108" i="2" s="1"/>
  <c r="AN94" i="2"/>
  <c r="AJ94" i="2"/>
  <c r="AK55" i="2"/>
  <c r="E55" i="2" s="1"/>
  <c r="F55" i="2" s="1"/>
  <c r="AU50" i="2"/>
  <c r="AK50" i="2"/>
  <c r="AU10" i="2"/>
  <c r="AK10" i="2"/>
  <c r="AU49" i="2"/>
  <c r="AK49" i="2"/>
  <c r="AU48" i="2"/>
  <c r="AK48" i="2"/>
  <c r="E48" i="2" s="1"/>
  <c r="F48" i="2" s="1"/>
  <c r="AU63" i="2"/>
  <c r="AK63" i="2"/>
  <c r="AK91" i="2"/>
  <c r="E91" i="2" s="1"/>
  <c r="F91" i="2" s="1"/>
  <c r="AU47" i="2"/>
  <c r="AK47" i="2"/>
  <c r="E47" i="2" s="1"/>
  <c r="F47" i="2" s="1"/>
  <c r="AU8" i="2"/>
  <c r="E8" i="2" s="1"/>
  <c r="F8" i="2" s="1"/>
  <c r="AU46" i="2"/>
  <c r="AK46" i="2"/>
  <c r="E46" i="2" s="1"/>
  <c r="AU45" i="2"/>
  <c r="AK45" i="2"/>
  <c r="AU43" i="2"/>
  <c r="AK43" i="2"/>
  <c r="E43" i="2" s="1"/>
  <c r="F43" i="2" s="1"/>
  <c r="AU42" i="2"/>
  <c r="AK42" i="2"/>
  <c r="AU41" i="2"/>
  <c r="AK41" i="2"/>
  <c r="E41" i="2" s="1"/>
  <c r="F41" i="2" s="1"/>
  <c r="AU39" i="2"/>
  <c r="AK39" i="2"/>
  <c r="AU38" i="2"/>
  <c r="AK38" i="2"/>
  <c r="E38" i="2" s="1"/>
  <c r="F38" i="2" s="1"/>
  <c r="AU36" i="2"/>
  <c r="AK36" i="2"/>
  <c r="AU35" i="2"/>
  <c r="AK35" i="2"/>
  <c r="E35" i="2" s="1"/>
  <c r="F35" i="2" s="1"/>
  <c r="AU34" i="2"/>
  <c r="AK34" i="2"/>
  <c r="AU33" i="2"/>
  <c r="AK33" i="2"/>
  <c r="E33" i="2" s="1"/>
  <c r="F33" i="2" s="1"/>
  <c r="AD94" i="2"/>
  <c r="AE108" i="2" s="1"/>
  <c r="AU58" i="2"/>
  <c r="AK58" i="2"/>
  <c r="AU32" i="2"/>
  <c r="AK32" i="2"/>
  <c r="E32" i="2" s="1"/>
  <c r="F32" i="2" s="1"/>
  <c r="AU31" i="2"/>
  <c r="AK31" i="2"/>
  <c r="E31" i="2" s="1"/>
  <c r="F31" i="2" s="1"/>
  <c r="AU30" i="2"/>
  <c r="AK30" i="2"/>
  <c r="E30" i="2" s="1"/>
  <c r="F30" i="2" s="1"/>
  <c r="AU29" i="2"/>
  <c r="AK29" i="2"/>
  <c r="E29" i="2" s="1"/>
  <c r="F29" i="2" s="1"/>
  <c r="AU51" i="2"/>
  <c r="AK51" i="2"/>
  <c r="E51" i="2" s="1"/>
  <c r="F51" i="2" s="1"/>
  <c r="AU28" i="2"/>
  <c r="AK28" i="2"/>
  <c r="E28" i="2" s="1"/>
  <c r="F28" i="2" s="1"/>
  <c r="AU27" i="2"/>
  <c r="AK27" i="2"/>
  <c r="E27" i="2" s="1"/>
  <c r="F27" i="2" s="1"/>
  <c r="AU26" i="2"/>
  <c r="AK26" i="2"/>
  <c r="E26" i="2" s="1"/>
  <c r="F26" i="2" s="1"/>
  <c r="BC94" i="2"/>
  <c r="AU25" i="2"/>
  <c r="AK25" i="2"/>
  <c r="AU24" i="2"/>
  <c r="AK24" i="2"/>
  <c r="E24" i="2" s="1"/>
  <c r="AU23" i="2"/>
  <c r="AK23" i="2"/>
  <c r="AU22" i="2"/>
  <c r="AK22" i="2"/>
  <c r="E22" i="2" s="1"/>
  <c r="F22" i="2" s="1"/>
  <c r="AU21" i="2"/>
  <c r="AK21" i="2"/>
  <c r="AU20" i="2"/>
  <c r="AK20" i="2"/>
  <c r="E20" i="2" s="1"/>
  <c r="F20" i="2" s="1"/>
  <c r="AU19" i="2"/>
  <c r="AK19" i="2"/>
  <c r="AU18" i="2"/>
  <c r="AK18" i="2"/>
  <c r="E18" i="2" s="1"/>
  <c r="F18" i="2" s="1"/>
  <c r="AU17" i="2"/>
  <c r="AK17" i="2"/>
  <c r="AU69" i="2"/>
  <c r="AK69" i="2"/>
  <c r="E69" i="2" s="1"/>
  <c r="F69" i="2" s="1"/>
  <c r="AK90" i="2"/>
  <c r="E90" i="2" s="1"/>
  <c r="F90" i="2" s="1"/>
  <c r="AU16" i="2"/>
  <c r="AK16" i="2"/>
  <c r="E16" i="2" s="1"/>
  <c r="F16" i="2" s="1"/>
  <c r="AU15" i="2"/>
  <c r="AK15" i="2"/>
  <c r="E15" i="2" s="1"/>
  <c r="F15" i="2" s="1"/>
  <c r="AU14" i="2"/>
  <c r="AK14" i="2"/>
  <c r="E14" i="2" s="1"/>
  <c r="F14" i="2" s="1"/>
  <c r="AU13" i="2"/>
  <c r="AK13" i="2"/>
  <c r="E13" i="2" s="1"/>
  <c r="F13" i="2" s="1"/>
  <c r="AU53" i="2"/>
  <c r="AK53" i="2"/>
  <c r="E53" i="2" s="1"/>
  <c r="F53" i="2" s="1"/>
  <c r="AU12" i="2"/>
  <c r="AK12" i="2"/>
  <c r="E12" i="2" s="1"/>
  <c r="AK74" i="2"/>
  <c r="E74" i="2" s="1"/>
  <c r="F74" i="2" s="1"/>
  <c r="AU11" i="2"/>
  <c r="AK11" i="2"/>
  <c r="E11" i="2" s="1"/>
  <c r="F11" i="2" s="1"/>
  <c r="AU7" i="2"/>
  <c r="AK7" i="2"/>
  <c r="AU9" i="2"/>
  <c r="AK9" i="2"/>
  <c r="E9" i="2" s="1"/>
  <c r="F9" i="2" s="1"/>
  <c r="AU6" i="2"/>
  <c r="AK6" i="2"/>
  <c r="AU5" i="2"/>
  <c r="AK5" i="2"/>
  <c r="E5" i="2" s="1"/>
  <c r="F5" i="2" s="1"/>
  <c r="AU59" i="2"/>
  <c r="AK59" i="2"/>
  <c r="AK44" i="2"/>
  <c r="E44" i="2" s="1"/>
  <c r="F44" i="2" s="1"/>
  <c r="AU37" i="2"/>
  <c r="AK37" i="2"/>
  <c r="E37" i="2" s="1"/>
  <c r="F37" i="2" s="1"/>
  <c r="E10" i="2" l="1"/>
  <c r="F10" i="2" s="1"/>
  <c r="E58" i="2"/>
  <c r="F58" i="2" s="1"/>
  <c r="E59" i="2"/>
  <c r="F59" i="2" s="1"/>
  <c r="E6" i="2"/>
  <c r="F6" i="2" s="1"/>
  <c r="E7" i="2"/>
  <c r="F7" i="2" s="1"/>
  <c r="E17" i="2"/>
  <c r="F17" i="2" s="1"/>
  <c r="E19" i="2"/>
  <c r="F19" i="2" s="1"/>
  <c r="E21" i="2"/>
  <c r="F21" i="2" s="1"/>
  <c r="E23" i="2"/>
  <c r="F23" i="2" s="1"/>
  <c r="E25" i="2"/>
  <c r="F25" i="2" s="1"/>
  <c r="E34" i="2"/>
  <c r="F34" i="2" s="1"/>
  <c r="E36" i="2"/>
  <c r="F36" i="2" s="1"/>
  <c r="E39" i="2"/>
  <c r="F39" i="2" s="1"/>
  <c r="E42" i="2"/>
  <c r="F42" i="2" s="1"/>
  <c r="E45" i="2"/>
  <c r="F45" i="2" s="1"/>
  <c r="E63" i="2"/>
  <c r="F63" i="2" s="1"/>
  <c r="E49" i="2"/>
  <c r="F49" i="2" s="1"/>
  <c r="E50" i="2"/>
  <c r="F50" i="2" s="1"/>
  <c r="AO108" i="2"/>
  <c r="E56" i="2"/>
  <c r="F56" i="2" s="1"/>
  <c r="AD108" i="2"/>
  <c r="AT108" i="2"/>
  <c r="AS108" i="2"/>
  <c r="AN108" i="2"/>
  <c r="AR108" i="2"/>
  <c r="F46" i="2"/>
  <c r="AI108" i="2"/>
  <c r="F24" i="2"/>
  <c r="F12" i="2"/>
  <c r="AP108" i="2"/>
  <c r="AL94" i="2"/>
  <c r="AM108" i="2" s="1"/>
  <c r="AK94" i="2"/>
  <c r="AU94" i="2"/>
  <c r="AV108" i="2" s="1"/>
  <c r="BH94" i="2"/>
  <c r="AL108" i="2" l="1"/>
  <c r="AU108" i="2"/>
  <c r="AK108" i="2"/>
  <c r="BL78" i="2"/>
  <c r="BM78" i="2" s="1"/>
  <c r="CB15" i="1" l="1"/>
  <c r="BY44" i="1" l="1"/>
  <c r="AZ44" i="1"/>
  <c r="BK44" i="1"/>
  <c r="BL20" i="1" l="1"/>
  <c r="BP20" i="1" s="1"/>
  <c r="BQ20" i="1" l="1"/>
  <c r="BR20" i="1" s="1"/>
  <c r="BS20" i="1" s="1"/>
  <c r="BT20" i="1" s="1"/>
  <c r="BU20" i="1" s="1"/>
  <c r="BV20" i="1" s="1"/>
  <c r="BW20" i="1"/>
  <c r="BX20" i="1" l="1"/>
  <c r="AJ51" i="1" l="1"/>
  <c r="BH58" i="1"/>
  <c r="BH14" i="1"/>
  <c r="BI75" i="1" l="1"/>
  <c r="Z65" i="1" l="1"/>
  <c r="F19" i="1" l="1"/>
  <c r="Q81" i="1" l="1"/>
  <c r="AG81" i="1"/>
  <c r="V4" i="1"/>
  <c r="BK81" i="1" l="1"/>
  <c r="BY81" i="1" s="1"/>
  <c r="H46" i="1"/>
  <c r="AG39" i="1"/>
  <c r="AG30" i="1"/>
  <c r="Q30" i="1"/>
  <c r="Q39" i="1"/>
  <c r="BK39" i="1" l="1"/>
  <c r="BY39" i="1" s="1"/>
  <c r="BK30" i="1"/>
  <c r="BY30" i="1" s="1"/>
  <c r="W78" i="1"/>
  <c r="AG4" i="1" l="1"/>
  <c r="AF88" i="1"/>
  <c r="AE88" i="1"/>
  <c r="AD88" i="1"/>
  <c r="AC88" i="1"/>
  <c r="AB88" i="1"/>
  <c r="AA88" i="1"/>
  <c r="Z88" i="1"/>
  <c r="Y88" i="1"/>
  <c r="X88" i="1"/>
  <c r="W88" i="1"/>
  <c r="U88" i="1"/>
  <c r="T88" i="1"/>
  <c r="S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AG87" i="1"/>
  <c r="AG86" i="1"/>
  <c r="AG85" i="1"/>
  <c r="AG84" i="1"/>
  <c r="AG83" i="1"/>
  <c r="AG82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3" i="1"/>
  <c r="AG42" i="1"/>
  <c r="AG41" i="1"/>
  <c r="AG40" i="1"/>
  <c r="AG38" i="1"/>
  <c r="AG37" i="1"/>
  <c r="AG36" i="1"/>
  <c r="AG35" i="1"/>
  <c r="AG34" i="1"/>
  <c r="AG33" i="1"/>
  <c r="AG32" i="1"/>
  <c r="AG31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Q87" i="1"/>
  <c r="Q86" i="1"/>
  <c r="Q85" i="1"/>
  <c r="Q84" i="1"/>
  <c r="Q83" i="1"/>
  <c r="Q82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R88" i="1" s="1"/>
  <c r="Q43" i="1"/>
  <c r="Q42" i="1"/>
  <c r="Q41" i="1"/>
  <c r="Q40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V88" i="1" l="1"/>
  <c r="BK20" i="1" l="1"/>
  <c r="BY20" i="1" l="1"/>
  <c r="AY75" i="1" l="1"/>
  <c r="AX62" i="1"/>
  <c r="AW75" i="1"/>
  <c r="AO75" i="1"/>
  <c r="AM75" i="1"/>
  <c r="AL89" i="1"/>
  <c r="AU75" i="1"/>
  <c r="AU89" i="1"/>
  <c r="AT43" i="1"/>
  <c r="AT89" i="1"/>
  <c r="AT88" i="1"/>
  <c r="AS84" i="1"/>
  <c r="AS75" i="1"/>
  <c r="AS89" i="1"/>
  <c r="AR89" i="1"/>
  <c r="AQ75" i="1"/>
  <c r="AQ69" i="1"/>
  <c r="AQ89" i="1"/>
  <c r="AI89" i="1"/>
  <c r="BH36" i="1"/>
  <c r="BE37" i="1" l="1"/>
  <c r="BG55" i="1" l="1"/>
  <c r="AT90" i="1"/>
  <c r="AN88" i="1" l="1"/>
  <c r="AN90" i="1" s="1"/>
  <c r="AP41" i="1"/>
  <c r="AP87" i="1"/>
  <c r="AP86" i="1"/>
  <c r="AP85" i="1"/>
  <c r="AP84" i="1"/>
  <c r="AP83" i="1"/>
  <c r="AP82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3" i="1"/>
  <c r="AP42" i="1"/>
  <c r="AP40" i="1"/>
  <c r="AP38" i="1"/>
  <c r="AP37" i="1"/>
  <c r="AP36" i="1"/>
  <c r="AP35" i="1"/>
  <c r="AP34" i="1"/>
  <c r="AP33" i="1"/>
  <c r="AP32" i="1"/>
  <c r="AP31" i="1"/>
  <c r="AP29" i="1"/>
  <c r="AP28" i="1"/>
  <c r="AP27" i="1"/>
  <c r="AP26" i="1"/>
  <c r="AP25" i="1"/>
  <c r="AP24" i="1"/>
  <c r="AP23" i="1"/>
  <c r="AP22" i="1"/>
  <c r="AP21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BK5" i="1" s="1"/>
  <c r="AP4" i="1"/>
  <c r="BM37" i="1"/>
  <c r="BN37" i="1" s="1"/>
  <c r="BO37" i="1" s="1"/>
  <c r="BP37" i="1" s="1"/>
  <c r="BQ37" i="1" s="1"/>
  <c r="BR37" i="1" s="1"/>
  <c r="BS37" i="1" s="1"/>
  <c r="BC88" i="1"/>
  <c r="BC90" i="1" s="1"/>
  <c r="BB88" i="1"/>
  <c r="BB90" i="1" s="1"/>
  <c r="BV33" i="1"/>
  <c r="BU33" i="1"/>
  <c r="BT33" i="1"/>
  <c r="BS33" i="1"/>
  <c r="BR33" i="1"/>
  <c r="BQ33" i="1"/>
  <c r="BP33" i="1"/>
  <c r="BO33" i="1"/>
  <c r="BN33" i="1"/>
  <c r="BM33" i="1"/>
  <c r="BD88" i="1"/>
  <c r="BD90" i="1" s="1"/>
  <c r="AP88" i="1" l="1"/>
  <c r="AP90" i="1" s="1"/>
  <c r="BX71" i="1"/>
  <c r="BW5" i="1"/>
  <c r="BV5" i="1"/>
  <c r="BU5" i="1"/>
  <c r="BT5" i="1"/>
  <c r="BS5" i="1"/>
  <c r="BR5" i="1"/>
  <c r="BQ5" i="1"/>
  <c r="BP5" i="1"/>
  <c r="BO5" i="1"/>
  <c r="BN5" i="1"/>
  <c r="BM5" i="1"/>
  <c r="BK82" i="1" l="1"/>
  <c r="BY82" i="1" s="1"/>
  <c r="BX5" i="1"/>
  <c r="BY5" i="1" s="1"/>
  <c r="BJ88" i="1"/>
  <c r="BJ90" i="1" s="1"/>
  <c r="BI88" i="1"/>
  <c r="BI90" i="1" s="1"/>
  <c r="BH88" i="1"/>
  <c r="BH90" i="1" s="1"/>
  <c r="BG88" i="1"/>
  <c r="BF88" i="1"/>
  <c r="BF90" i="1" s="1"/>
  <c r="BE88" i="1"/>
  <c r="BE90" i="1" s="1"/>
  <c r="AY88" i="1"/>
  <c r="AY90" i="1" s="1"/>
  <c r="AX88" i="1"/>
  <c r="AX90" i="1" s="1"/>
  <c r="AW88" i="1"/>
  <c r="AW90" i="1" s="1"/>
  <c r="AV88" i="1"/>
  <c r="AV90" i="1" s="1"/>
  <c r="AU88" i="1"/>
  <c r="AU90" i="1" s="1"/>
  <c r="AS88" i="1"/>
  <c r="AS90" i="1" s="1"/>
  <c r="AR88" i="1"/>
  <c r="AR90" i="1" s="1"/>
  <c r="AQ88" i="1"/>
  <c r="AQ90" i="1" s="1"/>
  <c r="AO88" i="1"/>
  <c r="AO90" i="1" s="1"/>
  <c r="AM88" i="1"/>
  <c r="AM90" i="1" s="1"/>
  <c r="AL88" i="1"/>
  <c r="AL90" i="1" s="1"/>
  <c r="AK88" i="1"/>
  <c r="AK90" i="1" s="1"/>
  <c r="AJ88" i="1"/>
  <c r="AJ90" i="1" s="1"/>
  <c r="AI88" i="1"/>
  <c r="AI90" i="1" s="1"/>
  <c r="AH88" i="1"/>
  <c r="BK71" i="1" l="1"/>
  <c r="BY71" i="1" s="1"/>
  <c r="BG90" i="1"/>
  <c r="AG88" i="1"/>
  <c r="AG89" i="1" s="1"/>
  <c r="BV43" i="1" l="1"/>
  <c r="BU43" i="1"/>
  <c r="BT43" i="1"/>
  <c r="BS43" i="1"/>
  <c r="BR43" i="1"/>
  <c r="BQ43" i="1"/>
  <c r="BP43" i="1"/>
  <c r="BO43" i="1"/>
  <c r="AZ87" i="1"/>
  <c r="BK87" i="1" s="1"/>
  <c r="AZ86" i="1"/>
  <c r="BK86" i="1" s="1"/>
  <c r="AZ85" i="1"/>
  <c r="AZ84" i="1"/>
  <c r="BK84" i="1" s="1"/>
  <c r="AZ83" i="1"/>
  <c r="BK83" i="1" s="1"/>
  <c r="AZ80" i="1"/>
  <c r="BK80" i="1" s="1"/>
  <c r="AZ79" i="1"/>
  <c r="AZ78" i="1"/>
  <c r="BK78" i="1" s="1"/>
  <c r="AZ77" i="1"/>
  <c r="BK77" i="1" s="1"/>
  <c r="AZ76" i="1"/>
  <c r="AZ75" i="1"/>
  <c r="AZ74" i="1"/>
  <c r="BK74" i="1" s="1"/>
  <c r="AZ73" i="1"/>
  <c r="BK73" i="1" s="1"/>
  <c r="AZ72" i="1"/>
  <c r="BK72" i="1" s="1"/>
  <c r="AZ70" i="1"/>
  <c r="BK70" i="1" s="1"/>
  <c r="AZ69" i="1"/>
  <c r="BK69" i="1" s="1"/>
  <c r="AZ68" i="1"/>
  <c r="BK68" i="1" s="1"/>
  <c r="AZ67" i="1"/>
  <c r="BK67" i="1" s="1"/>
  <c r="AZ66" i="1"/>
  <c r="BK66" i="1" s="1"/>
  <c r="AZ65" i="1"/>
  <c r="BK65" i="1" s="1"/>
  <c r="AZ64" i="1"/>
  <c r="BK64" i="1" s="1"/>
  <c r="AZ63" i="1"/>
  <c r="BK63" i="1" s="1"/>
  <c r="AZ62" i="1"/>
  <c r="AZ61" i="1"/>
  <c r="BK61" i="1" s="1"/>
  <c r="AZ60" i="1"/>
  <c r="BK60" i="1" s="1"/>
  <c r="AZ59" i="1"/>
  <c r="AZ58" i="1"/>
  <c r="BK58" i="1" s="1"/>
  <c r="AZ57" i="1"/>
  <c r="BK57" i="1" s="1"/>
  <c r="AZ56" i="1"/>
  <c r="BK56" i="1" s="1"/>
  <c r="AZ55" i="1"/>
  <c r="AZ54" i="1"/>
  <c r="BK54" i="1" s="1"/>
  <c r="AZ53" i="1"/>
  <c r="BK53" i="1" s="1"/>
  <c r="AZ52" i="1"/>
  <c r="AZ51" i="1"/>
  <c r="BK51" i="1" s="1"/>
  <c r="AZ50" i="1"/>
  <c r="BK50" i="1" s="1"/>
  <c r="AZ49" i="1"/>
  <c r="BK49" i="1" s="1"/>
  <c r="AZ48" i="1"/>
  <c r="BK48" i="1" s="1"/>
  <c r="AZ47" i="1"/>
  <c r="AZ46" i="1"/>
  <c r="AZ45" i="1"/>
  <c r="AZ43" i="1"/>
  <c r="BK43" i="1" s="1"/>
  <c r="AZ42" i="1"/>
  <c r="BK42" i="1" s="1"/>
  <c r="AZ41" i="1"/>
  <c r="BK41" i="1" s="1"/>
  <c r="AZ40" i="1"/>
  <c r="BK40" i="1" s="1"/>
  <c r="AZ38" i="1"/>
  <c r="BK38" i="1" s="1"/>
  <c r="AZ37" i="1"/>
  <c r="BK37" i="1" s="1"/>
  <c r="AZ36" i="1"/>
  <c r="BK36" i="1" s="1"/>
  <c r="AZ35" i="1"/>
  <c r="BK35" i="1" s="1"/>
  <c r="AZ34" i="1"/>
  <c r="BK34" i="1" s="1"/>
  <c r="AZ33" i="1"/>
  <c r="BK33" i="1" s="1"/>
  <c r="AZ32" i="1"/>
  <c r="AZ31" i="1"/>
  <c r="BK31" i="1" s="1"/>
  <c r="AZ29" i="1"/>
  <c r="AZ28" i="1"/>
  <c r="BK28" i="1" s="1"/>
  <c r="AZ27" i="1"/>
  <c r="BK27" i="1" s="1"/>
  <c r="AZ26" i="1"/>
  <c r="BK26" i="1" s="1"/>
  <c r="AZ25" i="1"/>
  <c r="BK25" i="1" s="1"/>
  <c r="AZ24" i="1"/>
  <c r="BK24" i="1" s="1"/>
  <c r="AZ23" i="1"/>
  <c r="BK23" i="1" s="1"/>
  <c r="AZ22" i="1"/>
  <c r="BK22" i="1" s="1"/>
  <c r="AZ21" i="1"/>
  <c r="BK21" i="1" s="1"/>
  <c r="AZ19" i="1"/>
  <c r="AZ18" i="1"/>
  <c r="BK18" i="1" s="1"/>
  <c r="AZ17" i="1"/>
  <c r="BK17" i="1" s="1"/>
  <c r="AZ16" i="1"/>
  <c r="AZ15" i="1"/>
  <c r="BK15" i="1" s="1"/>
  <c r="AZ14" i="1"/>
  <c r="BK14" i="1" s="1"/>
  <c r="AZ10" i="1"/>
  <c r="BK10" i="1" s="1"/>
  <c r="AZ9" i="1"/>
  <c r="AZ8" i="1"/>
  <c r="AZ7" i="1"/>
  <c r="BK7" i="1" s="1"/>
  <c r="AZ6" i="1"/>
  <c r="BK6" i="1" s="1"/>
  <c r="AZ4" i="1"/>
  <c r="BK4" i="1" s="1"/>
  <c r="AZ13" i="1"/>
  <c r="BW84" i="1"/>
  <c r="BV84" i="1"/>
  <c r="BU84" i="1"/>
  <c r="BT84" i="1"/>
  <c r="BS84" i="1"/>
  <c r="BR84" i="1"/>
  <c r="BQ84" i="1"/>
  <c r="BP84" i="1"/>
  <c r="BO84" i="1"/>
  <c r="BN84" i="1"/>
  <c r="BM84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2" i="1" s="1"/>
  <c r="A23" i="1" s="1"/>
  <c r="A24" i="1" s="1"/>
  <c r="A25" i="1" s="1"/>
  <c r="A26" i="1" s="1"/>
  <c r="A27" i="1" s="1"/>
  <c r="A28" i="1" s="1"/>
  <c r="A29" i="1" s="1"/>
  <c r="A32" i="1" s="1"/>
  <c r="A33" i="1" s="1"/>
  <c r="A34" i="1" s="1"/>
  <c r="A35" i="1" s="1"/>
  <c r="A36" i="1" s="1"/>
  <c r="A37" i="1" s="1"/>
  <c r="A38" i="1" s="1"/>
  <c r="A41" i="1" s="1"/>
  <c r="A42" i="1" s="1"/>
  <c r="A43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4" i="1" s="1"/>
  <c r="A65" i="1" s="1"/>
  <c r="A66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4" i="1" s="1"/>
  <c r="A85" i="1" s="1"/>
  <c r="A86" i="1" s="1"/>
  <c r="A87" i="1" s="1"/>
  <c r="BW87" i="1"/>
  <c r="BV87" i="1"/>
  <c r="BU87" i="1"/>
  <c r="BT87" i="1"/>
  <c r="BS87" i="1"/>
  <c r="BR87" i="1"/>
  <c r="BQ87" i="1"/>
  <c r="BP87" i="1"/>
  <c r="BO87" i="1"/>
  <c r="BN87" i="1"/>
  <c r="BW86" i="1"/>
  <c r="BV86" i="1"/>
  <c r="BU86" i="1"/>
  <c r="BT86" i="1"/>
  <c r="BS86" i="1"/>
  <c r="BR86" i="1"/>
  <c r="BQ86" i="1"/>
  <c r="BP86" i="1"/>
  <c r="BO86" i="1"/>
  <c r="BN86" i="1"/>
  <c r="BW85" i="1"/>
  <c r="BV85" i="1"/>
  <c r="BU85" i="1"/>
  <c r="BT85" i="1"/>
  <c r="BS85" i="1"/>
  <c r="BR85" i="1"/>
  <c r="BQ85" i="1"/>
  <c r="BP85" i="1"/>
  <c r="BO85" i="1"/>
  <c r="BN85" i="1"/>
  <c r="BW83" i="1"/>
  <c r="BV83" i="1"/>
  <c r="BU83" i="1"/>
  <c r="BT83" i="1"/>
  <c r="BS83" i="1"/>
  <c r="BR83" i="1"/>
  <c r="BQ83" i="1"/>
  <c r="BP83" i="1"/>
  <c r="BO83" i="1"/>
  <c r="BN83" i="1"/>
  <c r="BW80" i="1"/>
  <c r="BV80" i="1"/>
  <c r="BU80" i="1"/>
  <c r="BT80" i="1"/>
  <c r="BS80" i="1"/>
  <c r="BR80" i="1"/>
  <c r="BQ80" i="1"/>
  <c r="BP80" i="1"/>
  <c r="BO80" i="1"/>
  <c r="BN80" i="1"/>
  <c r="BW79" i="1"/>
  <c r="BV79" i="1"/>
  <c r="BU79" i="1"/>
  <c r="BT79" i="1"/>
  <c r="BS79" i="1"/>
  <c r="BR79" i="1"/>
  <c r="BQ79" i="1"/>
  <c r="BP79" i="1"/>
  <c r="BO79" i="1"/>
  <c r="BN79" i="1"/>
  <c r="BW78" i="1"/>
  <c r="BV78" i="1"/>
  <c r="BU78" i="1"/>
  <c r="BT78" i="1"/>
  <c r="BS78" i="1"/>
  <c r="BR78" i="1"/>
  <c r="BQ78" i="1"/>
  <c r="BP78" i="1"/>
  <c r="BO78" i="1"/>
  <c r="BN78" i="1"/>
  <c r="BW77" i="1"/>
  <c r="BV77" i="1"/>
  <c r="BU77" i="1"/>
  <c r="BT77" i="1"/>
  <c r="BS77" i="1"/>
  <c r="BR77" i="1"/>
  <c r="BQ77" i="1"/>
  <c r="BP77" i="1"/>
  <c r="BO77" i="1"/>
  <c r="BN77" i="1"/>
  <c r="BW76" i="1"/>
  <c r="BV76" i="1"/>
  <c r="BU76" i="1"/>
  <c r="BT76" i="1"/>
  <c r="BS76" i="1"/>
  <c r="BR76" i="1"/>
  <c r="BQ76" i="1"/>
  <c r="BP76" i="1"/>
  <c r="BO76" i="1"/>
  <c r="BN76" i="1"/>
  <c r="BW75" i="1"/>
  <c r="BV75" i="1"/>
  <c r="BU75" i="1"/>
  <c r="BT75" i="1"/>
  <c r="BS75" i="1"/>
  <c r="BR75" i="1"/>
  <c r="BQ75" i="1"/>
  <c r="BP75" i="1"/>
  <c r="BO75" i="1"/>
  <c r="BN75" i="1"/>
  <c r="BW74" i="1"/>
  <c r="BV74" i="1"/>
  <c r="BU74" i="1"/>
  <c r="BT74" i="1"/>
  <c r="BS74" i="1"/>
  <c r="BR74" i="1"/>
  <c r="BQ74" i="1"/>
  <c r="BP74" i="1"/>
  <c r="BO74" i="1"/>
  <c r="BN74" i="1"/>
  <c r="BW73" i="1"/>
  <c r="BV73" i="1"/>
  <c r="BU73" i="1"/>
  <c r="BT73" i="1"/>
  <c r="BS73" i="1"/>
  <c r="BR73" i="1"/>
  <c r="BQ73" i="1"/>
  <c r="BP73" i="1"/>
  <c r="BO73" i="1"/>
  <c r="BN73" i="1"/>
  <c r="BW72" i="1"/>
  <c r="BV72" i="1"/>
  <c r="BU72" i="1"/>
  <c r="BT72" i="1"/>
  <c r="BS72" i="1"/>
  <c r="BR72" i="1"/>
  <c r="BQ72" i="1"/>
  <c r="BP72" i="1"/>
  <c r="BO72" i="1"/>
  <c r="BN72" i="1"/>
  <c r="BW70" i="1"/>
  <c r="BV70" i="1"/>
  <c r="BU70" i="1"/>
  <c r="BT70" i="1"/>
  <c r="BS70" i="1"/>
  <c r="BR70" i="1"/>
  <c r="BQ70" i="1"/>
  <c r="BP70" i="1"/>
  <c r="BO70" i="1"/>
  <c r="BN70" i="1"/>
  <c r="BW69" i="1"/>
  <c r="BV69" i="1"/>
  <c r="BU69" i="1"/>
  <c r="BT69" i="1"/>
  <c r="BS69" i="1"/>
  <c r="BR69" i="1"/>
  <c r="BQ69" i="1"/>
  <c r="BP69" i="1"/>
  <c r="BO69" i="1"/>
  <c r="BN69" i="1"/>
  <c r="BW68" i="1"/>
  <c r="BV68" i="1"/>
  <c r="BU68" i="1"/>
  <c r="BT68" i="1"/>
  <c r="BS68" i="1"/>
  <c r="BR68" i="1"/>
  <c r="BQ68" i="1"/>
  <c r="BP68" i="1"/>
  <c r="BO68" i="1"/>
  <c r="BN68" i="1"/>
  <c r="BW67" i="1"/>
  <c r="BV67" i="1"/>
  <c r="BU67" i="1"/>
  <c r="BT67" i="1"/>
  <c r="BS67" i="1"/>
  <c r="BR67" i="1"/>
  <c r="BQ67" i="1"/>
  <c r="BP67" i="1"/>
  <c r="BO67" i="1"/>
  <c r="BN67" i="1"/>
  <c r="BW66" i="1"/>
  <c r="BV66" i="1"/>
  <c r="BU66" i="1"/>
  <c r="BT66" i="1"/>
  <c r="BS66" i="1"/>
  <c r="BR66" i="1"/>
  <c r="BQ66" i="1"/>
  <c r="BP66" i="1"/>
  <c r="BO66" i="1"/>
  <c r="BN66" i="1"/>
  <c r="BW65" i="1"/>
  <c r="BV65" i="1"/>
  <c r="BU65" i="1"/>
  <c r="BT65" i="1"/>
  <c r="BS65" i="1"/>
  <c r="BR65" i="1"/>
  <c r="BQ65" i="1"/>
  <c r="BP65" i="1"/>
  <c r="BO65" i="1"/>
  <c r="BN65" i="1"/>
  <c r="BW64" i="1"/>
  <c r="BV64" i="1"/>
  <c r="BU64" i="1"/>
  <c r="BT64" i="1"/>
  <c r="BS64" i="1"/>
  <c r="BR64" i="1"/>
  <c r="BQ64" i="1"/>
  <c r="BP64" i="1"/>
  <c r="BO64" i="1"/>
  <c r="BN64" i="1"/>
  <c r="BW63" i="1"/>
  <c r="BV63" i="1"/>
  <c r="BU63" i="1"/>
  <c r="BT63" i="1"/>
  <c r="BS63" i="1"/>
  <c r="BR63" i="1"/>
  <c r="BQ63" i="1"/>
  <c r="BP63" i="1"/>
  <c r="BO63" i="1"/>
  <c r="BN63" i="1"/>
  <c r="BW62" i="1"/>
  <c r="BV62" i="1"/>
  <c r="BU62" i="1"/>
  <c r="BT62" i="1"/>
  <c r="BS62" i="1"/>
  <c r="BR62" i="1"/>
  <c r="BQ62" i="1"/>
  <c r="BP62" i="1"/>
  <c r="BO62" i="1"/>
  <c r="BN62" i="1"/>
  <c r="BW61" i="1"/>
  <c r="BV61" i="1"/>
  <c r="BU61" i="1"/>
  <c r="BT61" i="1"/>
  <c r="BS61" i="1"/>
  <c r="BR61" i="1"/>
  <c r="BQ61" i="1"/>
  <c r="BP61" i="1"/>
  <c r="BO61" i="1"/>
  <c r="BN61" i="1"/>
  <c r="BW60" i="1"/>
  <c r="BV60" i="1"/>
  <c r="BU60" i="1"/>
  <c r="BT60" i="1"/>
  <c r="BS60" i="1"/>
  <c r="BR60" i="1"/>
  <c r="BQ60" i="1"/>
  <c r="BP60" i="1"/>
  <c r="BO60" i="1"/>
  <c r="BN60" i="1"/>
  <c r="BW59" i="1"/>
  <c r="BV59" i="1"/>
  <c r="BU59" i="1"/>
  <c r="BT59" i="1"/>
  <c r="BS59" i="1"/>
  <c r="BR59" i="1"/>
  <c r="BQ59" i="1"/>
  <c r="BP59" i="1"/>
  <c r="BO59" i="1"/>
  <c r="BN59" i="1"/>
  <c r="BU58" i="1"/>
  <c r="BV58" i="1" s="1"/>
  <c r="BW58" i="1" s="1"/>
  <c r="BT58" i="1"/>
  <c r="BS58" i="1"/>
  <c r="BR58" i="1"/>
  <c r="BQ58" i="1"/>
  <c r="BP58" i="1"/>
  <c r="BO58" i="1"/>
  <c r="BN58" i="1"/>
  <c r="BW57" i="1"/>
  <c r="BV57" i="1"/>
  <c r="BU57" i="1"/>
  <c r="BT57" i="1"/>
  <c r="BS57" i="1"/>
  <c r="BR57" i="1"/>
  <c r="BQ57" i="1"/>
  <c r="BP57" i="1"/>
  <c r="BO57" i="1"/>
  <c r="BN57" i="1"/>
  <c r="BW56" i="1"/>
  <c r="BV56" i="1"/>
  <c r="BU56" i="1"/>
  <c r="BT56" i="1"/>
  <c r="BS56" i="1"/>
  <c r="BR56" i="1"/>
  <c r="BQ56" i="1"/>
  <c r="BP56" i="1"/>
  <c r="BO56" i="1"/>
  <c r="BN56" i="1"/>
  <c r="BW55" i="1"/>
  <c r="BV55" i="1"/>
  <c r="BU55" i="1"/>
  <c r="BT55" i="1"/>
  <c r="BS55" i="1"/>
  <c r="BR55" i="1"/>
  <c r="BQ55" i="1"/>
  <c r="BP55" i="1"/>
  <c r="BO55" i="1"/>
  <c r="BN55" i="1"/>
  <c r="BW54" i="1"/>
  <c r="BV54" i="1"/>
  <c r="BU54" i="1"/>
  <c r="BT54" i="1"/>
  <c r="BS54" i="1"/>
  <c r="BR54" i="1"/>
  <c r="BQ54" i="1"/>
  <c r="BP54" i="1"/>
  <c r="BO54" i="1"/>
  <c r="BN54" i="1"/>
  <c r="BW53" i="1"/>
  <c r="BV53" i="1"/>
  <c r="BU53" i="1"/>
  <c r="BT53" i="1"/>
  <c r="BS53" i="1"/>
  <c r="BR53" i="1"/>
  <c r="BQ53" i="1"/>
  <c r="BP53" i="1"/>
  <c r="BO53" i="1"/>
  <c r="BN53" i="1"/>
  <c r="BW52" i="1"/>
  <c r="BV52" i="1"/>
  <c r="BU52" i="1"/>
  <c r="BT52" i="1"/>
  <c r="BS52" i="1"/>
  <c r="BR52" i="1"/>
  <c r="BQ52" i="1"/>
  <c r="BP52" i="1"/>
  <c r="BO52" i="1"/>
  <c r="BN52" i="1"/>
  <c r="BW51" i="1"/>
  <c r="BV51" i="1"/>
  <c r="BU51" i="1"/>
  <c r="BT51" i="1"/>
  <c r="BS51" i="1"/>
  <c r="BR51" i="1"/>
  <c r="BQ51" i="1"/>
  <c r="BP51" i="1"/>
  <c r="BO51" i="1"/>
  <c r="BN51" i="1"/>
  <c r="BW50" i="1"/>
  <c r="BV50" i="1"/>
  <c r="BU50" i="1"/>
  <c r="BT50" i="1"/>
  <c r="BS50" i="1"/>
  <c r="BR50" i="1"/>
  <c r="BQ50" i="1"/>
  <c r="BP50" i="1"/>
  <c r="BO50" i="1"/>
  <c r="BN50" i="1"/>
  <c r="BW49" i="1"/>
  <c r="BV49" i="1"/>
  <c r="BU49" i="1"/>
  <c r="BT49" i="1"/>
  <c r="BS49" i="1"/>
  <c r="BR49" i="1"/>
  <c r="BQ49" i="1"/>
  <c r="BP49" i="1"/>
  <c r="BO49" i="1"/>
  <c r="BN49" i="1"/>
  <c r="BW48" i="1"/>
  <c r="BV48" i="1"/>
  <c r="BU48" i="1"/>
  <c r="BT48" i="1"/>
  <c r="BS48" i="1"/>
  <c r="BR48" i="1"/>
  <c r="BQ48" i="1"/>
  <c r="BP48" i="1"/>
  <c r="BO48" i="1"/>
  <c r="BN48" i="1"/>
  <c r="BW47" i="1"/>
  <c r="BV47" i="1"/>
  <c r="BU47" i="1"/>
  <c r="BT47" i="1"/>
  <c r="BS47" i="1"/>
  <c r="BR47" i="1"/>
  <c r="BQ47" i="1"/>
  <c r="BP47" i="1"/>
  <c r="BO47" i="1"/>
  <c r="BN47" i="1"/>
  <c r="BW46" i="1"/>
  <c r="BV46" i="1"/>
  <c r="BU46" i="1"/>
  <c r="BT46" i="1"/>
  <c r="BS46" i="1"/>
  <c r="BR46" i="1"/>
  <c r="BQ46" i="1"/>
  <c r="BP46" i="1"/>
  <c r="BO46" i="1"/>
  <c r="BN46" i="1"/>
  <c r="BW45" i="1"/>
  <c r="BV45" i="1"/>
  <c r="BU45" i="1"/>
  <c r="BT45" i="1"/>
  <c r="BS45" i="1"/>
  <c r="BR45" i="1"/>
  <c r="BQ45" i="1"/>
  <c r="BP45" i="1"/>
  <c r="BO45" i="1"/>
  <c r="BN45" i="1"/>
  <c r="BW42" i="1"/>
  <c r="BV42" i="1"/>
  <c r="BU42" i="1"/>
  <c r="BT42" i="1"/>
  <c r="BS42" i="1"/>
  <c r="BR42" i="1"/>
  <c r="BQ42" i="1"/>
  <c r="BP42" i="1"/>
  <c r="BO42" i="1"/>
  <c r="BN42" i="1"/>
  <c r="BW41" i="1"/>
  <c r="BV41" i="1"/>
  <c r="BU41" i="1"/>
  <c r="BT41" i="1"/>
  <c r="BS41" i="1"/>
  <c r="BR41" i="1"/>
  <c r="BQ41" i="1"/>
  <c r="BP41" i="1"/>
  <c r="BO41" i="1"/>
  <c r="BN41" i="1"/>
  <c r="BW40" i="1"/>
  <c r="BV40" i="1"/>
  <c r="BU40" i="1"/>
  <c r="BT40" i="1"/>
  <c r="BS40" i="1"/>
  <c r="BR40" i="1"/>
  <c r="BQ40" i="1"/>
  <c r="BP40" i="1"/>
  <c r="BO40" i="1"/>
  <c r="BN40" i="1"/>
  <c r="BW38" i="1"/>
  <c r="BV38" i="1"/>
  <c r="BU38" i="1"/>
  <c r="BT38" i="1"/>
  <c r="BS38" i="1"/>
  <c r="BR38" i="1"/>
  <c r="BQ38" i="1"/>
  <c r="BP38" i="1"/>
  <c r="BO38" i="1"/>
  <c r="BN38" i="1"/>
  <c r="BP36" i="1"/>
  <c r="BQ36" i="1" s="1"/>
  <c r="BR36" i="1" s="1"/>
  <c r="BS36" i="1" s="1"/>
  <c r="BT36" i="1" s="1"/>
  <c r="BU36" i="1" s="1"/>
  <c r="BV36" i="1" s="1"/>
  <c r="BW36" i="1" s="1"/>
  <c r="BO36" i="1"/>
  <c r="BN36" i="1"/>
  <c r="BW35" i="1"/>
  <c r="BV35" i="1"/>
  <c r="BU35" i="1"/>
  <c r="BT35" i="1"/>
  <c r="BS35" i="1"/>
  <c r="BR35" i="1"/>
  <c r="BQ35" i="1"/>
  <c r="BP35" i="1"/>
  <c r="BO35" i="1"/>
  <c r="BN35" i="1"/>
  <c r="BW34" i="1"/>
  <c r="BV34" i="1"/>
  <c r="BU34" i="1"/>
  <c r="BT34" i="1"/>
  <c r="BS34" i="1"/>
  <c r="BR34" i="1"/>
  <c r="BQ34" i="1"/>
  <c r="BP34" i="1"/>
  <c r="BO34" i="1"/>
  <c r="BN34" i="1"/>
  <c r="BW32" i="1"/>
  <c r="BV32" i="1"/>
  <c r="BU32" i="1"/>
  <c r="BT32" i="1"/>
  <c r="BS32" i="1"/>
  <c r="BR32" i="1"/>
  <c r="BQ32" i="1"/>
  <c r="BP32" i="1"/>
  <c r="BO32" i="1"/>
  <c r="BN32" i="1"/>
  <c r="BW31" i="1"/>
  <c r="BV31" i="1"/>
  <c r="BU31" i="1"/>
  <c r="BT31" i="1"/>
  <c r="BS31" i="1"/>
  <c r="BR31" i="1"/>
  <c r="BQ31" i="1"/>
  <c r="BP31" i="1"/>
  <c r="BO31" i="1"/>
  <c r="BN31" i="1"/>
  <c r="BW29" i="1"/>
  <c r="BV29" i="1"/>
  <c r="BU29" i="1"/>
  <c r="BT29" i="1"/>
  <c r="BS29" i="1"/>
  <c r="BR29" i="1"/>
  <c r="BQ29" i="1"/>
  <c r="BP29" i="1"/>
  <c r="BO29" i="1"/>
  <c r="BN29" i="1"/>
  <c r="BW28" i="1"/>
  <c r="BV28" i="1"/>
  <c r="BU28" i="1"/>
  <c r="BT28" i="1"/>
  <c r="BS28" i="1"/>
  <c r="BR28" i="1"/>
  <c r="BQ28" i="1"/>
  <c r="BP28" i="1"/>
  <c r="BO28" i="1"/>
  <c r="BN28" i="1"/>
  <c r="BW27" i="1"/>
  <c r="BV27" i="1"/>
  <c r="BU27" i="1"/>
  <c r="BT27" i="1"/>
  <c r="BS27" i="1"/>
  <c r="BR27" i="1"/>
  <c r="BQ27" i="1"/>
  <c r="BP27" i="1"/>
  <c r="BO27" i="1"/>
  <c r="BN27" i="1"/>
  <c r="BW26" i="1"/>
  <c r="BV26" i="1"/>
  <c r="BU26" i="1"/>
  <c r="BT26" i="1"/>
  <c r="BS26" i="1"/>
  <c r="BR26" i="1"/>
  <c r="BQ26" i="1"/>
  <c r="BP26" i="1"/>
  <c r="BO26" i="1"/>
  <c r="BN26" i="1"/>
  <c r="BW25" i="1"/>
  <c r="BV25" i="1"/>
  <c r="BU25" i="1"/>
  <c r="BT25" i="1"/>
  <c r="BS25" i="1"/>
  <c r="BR25" i="1"/>
  <c r="BQ25" i="1"/>
  <c r="BP25" i="1"/>
  <c r="BO25" i="1"/>
  <c r="BN25" i="1"/>
  <c r="BW24" i="1"/>
  <c r="BV24" i="1"/>
  <c r="BU24" i="1"/>
  <c r="BT24" i="1"/>
  <c r="BS24" i="1"/>
  <c r="BR24" i="1"/>
  <c r="BQ24" i="1"/>
  <c r="BP24" i="1"/>
  <c r="BO24" i="1"/>
  <c r="BN24" i="1"/>
  <c r="BW23" i="1"/>
  <c r="BV23" i="1"/>
  <c r="BU23" i="1"/>
  <c r="BT23" i="1"/>
  <c r="BS23" i="1"/>
  <c r="BR23" i="1"/>
  <c r="BQ23" i="1"/>
  <c r="BP23" i="1"/>
  <c r="BO23" i="1"/>
  <c r="BN23" i="1"/>
  <c r="BW22" i="1"/>
  <c r="BV22" i="1"/>
  <c r="BU22" i="1"/>
  <c r="BT22" i="1"/>
  <c r="BS22" i="1"/>
  <c r="BR22" i="1"/>
  <c r="BQ22" i="1"/>
  <c r="BP22" i="1"/>
  <c r="BO22" i="1"/>
  <c r="BN22" i="1"/>
  <c r="BW21" i="1"/>
  <c r="BV21" i="1"/>
  <c r="BU21" i="1"/>
  <c r="BT21" i="1"/>
  <c r="BS21" i="1"/>
  <c r="BR21" i="1"/>
  <c r="BQ21" i="1"/>
  <c r="BP21" i="1"/>
  <c r="BO21" i="1"/>
  <c r="BN21" i="1"/>
  <c r="BW19" i="1"/>
  <c r="BV19" i="1"/>
  <c r="BU19" i="1"/>
  <c r="BT19" i="1"/>
  <c r="BS19" i="1"/>
  <c r="BR19" i="1"/>
  <c r="BQ19" i="1"/>
  <c r="BP19" i="1"/>
  <c r="BO19" i="1"/>
  <c r="BN19" i="1"/>
  <c r="BW18" i="1"/>
  <c r="BV18" i="1"/>
  <c r="BU18" i="1"/>
  <c r="BT18" i="1"/>
  <c r="BS18" i="1"/>
  <c r="BR18" i="1"/>
  <c r="BQ18" i="1"/>
  <c r="BP18" i="1"/>
  <c r="BO18" i="1"/>
  <c r="BN18" i="1"/>
  <c r="BW17" i="1"/>
  <c r="BV17" i="1"/>
  <c r="BU17" i="1"/>
  <c r="BT17" i="1"/>
  <c r="BS17" i="1"/>
  <c r="BR17" i="1"/>
  <c r="BQ17" i="1"/>
  <c r="BP17" i="1"/>
  <c r="BO17" i="1"/>
  <c r="BN17" i="1"/>
  <c r="BW16" i="1"/>
  <c r="BV16" i="1"/>
  <c r="BU16" i="1"/>
  <c r="BT16" i="1"/>
  <c r="BS16" i="1"/>
  <c r="BR16" i="1"/>
  <c r="BQ16" i="1"/>
  <c r="BP16" i="1"/>
  <c r="BO16" i="1"/>
  <c r="BN16" i="1"/>
  <c r="BW15" i="1"/>
  <c r="BV15" i="1"/>
  <c r="BU15" i="1"/>
  <c r="BT15" i="1"/>
  <c r="BS15" i="1"/>
  <c r="BR15" i="1"/>
  <c r="BQ15" i="1"/>
  <c r="BP15" i="1"/>
  <c r="BO15" i="1"/>
  <c r="BN15" i="1"/>
  <c r="BW14" i="1"/>
  <c r="BV14" i="1"/>
  <c r="BU14" i="1"/>
  <c r="BT14" i="1"/>
  <c r="BS14" i="1"/>
  <c r="BR14" i="1"/>
  <c r="BQ14" i="1"/>
  <c r="BP14" i="1"/>
  <c r="BO14" i="1"/>
  <c r="BN14" i="1"/>
  <c r="BW13" i="1"/>
  <c r="BV13" i="1"/>
  <c r="BU13" i="1"/>
  <c r="BT13" i="1"/>
  <c r="BS13" i="1"/>
  <c r="BR13" i="1"/>
  <c r="BQ13" i="1"/>
  <c r="BP13" i="1"/>
  <c r="BO13" i="1"/>
  <c r="BN13" i="1"/>
  <c r="BW12" i="1"/>
  <c r="BV12" i="1"/>
  <c r="BU12" i="1"/>
  <c r="BT12" i="1"/>
  <c r="BS12" i="1"/>
  <c r="BR12" i="1"/>
  <c r="BQ12" i="1"/>
  <c r="BP12" i="1"/>
  <c r="BO12" i="1"/>
  <c r="BN12" i="1"/>
  <c r="BW11" i="1"/>
  <c r="BV11" i="1"/>
  <c r="BU11" i="1"/>
  <c r="BT11" i="1"/>
  <c r="BS11" i="1"/>
  <c r="BR11" i="1"/>
  <c r="BQ11" i="1"/>
  <c r="BP11" i="1"/>
  <c r="BO11" i="1"/>
  <c r="BW10" i="1"/>
  <c r="BV10" i="1"/>
  <c r="BU10" i="1"/>
  <c r="BT10" i="1"/>
  <c r="BS10" i="1"/>
  <c r="BR10" i="1"/>
  <c r="BQ10" i="1"/>
  <c r="BP10" i="1"/>
  <c r="BO10" i="1"/>
  <c r="BN10" i="1"/>
  <c r="BW9" i="1"/>
  <c r="BV9" i="1"/>
  <c r="BU9" i="1"/>
  <c r="BT9" i="1"/>
  <c r="BS9" i="1"/>
  <c r="BR9" i="1"/>
  <c r="BQ9" i="1"/>
  <c r="BP9" i="1"/>
  <c r="BO9" i="1"/>
  <c r="BN9" i="1"/>
  <c r="BW8" i="1"/>
  <c r="BV8" i="1"/>
  <c r="BU8" i="1"/>
  <c r="BT8" i="1"/>
  <c r="BS8" i="1"/>
  <c r="BR8" i="1"/>
  <c r="BQ8" i="1"/>
  <c r="BP8" i="1"/>
  <c r="BO8" i="1"/>
  <c r="BN8" i="1"/>
  <c r="BW7" i="1"/>
  <c r="BV7" i="1"/>
  <c r="BU7" i="1"/>
  <c r="BT7" i="1"/>
  <c r="BS7" i="1"/>
  <c r="BR7" i="1"/>
  <c r="BQ7" i="1"/>
  <c r="BP7" i="1"/>
  <c r="BO7" i="1"/>
  <c r="BN7" i="1"/>
  <c r="BW6" i="1"/>
  <c r="BV6" i="1"/>
  <c r="BU6" i="1"/>
  <c r="BT6" i="1"/>
  <c r="BS6" i="1"/>
  <c r="BR6" i="1"/>
  <c r="BQ6" i="1"/>
  <c r="BP6" i="1"/>
  <c r="BO6" i="1"/>
  <c r="BN6" i="1"/>
  <c r="BW4" i="1"/>
  <c r="BV4" i="1"/>
  <c r="BU4" i="1"/>
  <c r="BT4" i="1"/>
  <c r="BS4" i="1"/>
  <c r="BR4" i="1"/>
  <c r="BQ4" i="1"/>
  <c r="BP4" i="1"/>
  <c r="BO4" i="1"/>
  <c r="BM87" i="1"/>
  <c r="BM86" i="1"/>
  <c r="BM85" i="1"/>
  <c r="BM83" i="1"/>
  <c r="BM80" i="1"/>
  <c r="BM79" i="1"/>
  <c r="BM78" i="1"/>
  <c r="BM77" i="1"/>
  <c r="BM76" i="1"/>
  <c r="BM75" i="1"/>
  <c r="BM74" i="1"/>
  <c r="BM73" i="1"/>
  <c r="BM72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2" i="1"/>
  <c r="BM41" i="1"/>
  <c r="BM40" i="1"/>
  <c r="BM38" i="1"/>
  <c r="BM36" i="1"/>
  <c r="BM35" i="1"/>
  <c r="BM34" i="1"/>
  <c r="BM32" i="1"/>
  <c r="BM31" i="1"/>
  <c r="BM29" i="1"/>
  <c r="BM28" i="1"/>
  <c r="BM27" i="1"/>
  <c r="BM26" i="1"/>
  <c r="BM25" i="1"/>
  <c r="BM24" i="1"/>
  <c r="BM23" i="1"/>
  <c r="BM22" i="1"/>
  <c r="BM21" i="1"/>
  <c r="BM19" i="1"/>
  <c r="BM18" i="1"/>
  <c r="BM17" i="1"/>
  <c r="BM16" i="1"/>
  <c r="BM15" i="1"/>
  <c r="BM14" i="1"/>
  <c r="BM13" i="1"/>
  <c r="BM12" i="1"/>
  <c r="BM10" i="1"/>
  <c r="BM9" i="1"/>
  <c r="BM8" i="1"/>
  <c r="BM7" i="1"/>
  <c r="BM6" i="1"/>
  <c r="AZ11" i="1"/>
  <c r="BK11" i="1" s="1"/>
  <c r="AZ12" i="1"/>
  <c r="BK12" i="1" s="1"/>
  <c r="BK19" i="1"/>
  <c r="BK52" i="1"/>
  <c r="BK32" i="1"/>
  <c r="BK45" i="1" l="1"/>
  <c r="BA88" i="1"/>
  <c r="BA90" i="1" s="1"/>
  <c r="BK46" i="1"/>
  <c r="AZ88" i="1"/>
  <c r="BX84" i="1"/>
  <c r="BX43" i="1"/>
  <c r="BX8" i="1"/>
  <c r="BX12" i="1"/>
  <c r="BX16" i="1"/>
  <c r="BX21" i="1"/>
  <c r="BY21" i="1" s="1"/>
  <c r="BX25" i="1"/>
  <c r="BX29" i="1"/>
  <c r="BX34" i="1"/>
  <c r="BX38" i="1"/>
  <c r="BX45" i="1"/>
  <c r="BX49" i="1"/>
  <c r="BX53" i="1"/>
  <c r="BX57" i="1"/>
  <c r="BX61" i="1"/>
  <c r="BX65" i="1"/>
  <c r="BY65" i="1" s="1"/>
  <c r="BX68" i="1"/>
  <c r="BX73" i="1"/>
  <c r="BX77" i="1"/>
  <c r="BX83" i="1"/>
  <c r="BX7" i="1"/>
  <c r="BX11" i="1"/>
  <c r="BX15" i="1"/>
  <c r="BX19" i="1"/>
  <c r="BY19" i="1" s="1"/>
  <c r="BX24" i="1"/>
  <c r="BX28" i="1"/>
  <c r="BX33" i="1"/>
  <c r="BX37" i="1"/>
  <c r="BX42" i="1"/>
  <c r="BX48" i="1"/>
  <c r="BX52" i="1"/>
  <c r="BX56" i="1"/>
  <c r="BX60" i="1"/>
  <c r="BX64" i="1"/>
  <c r="BX67" i="1"/>
  <c r="BX72" i="1"/>
  <c r="BY72" i="1" s="1"/>
  <c r="BX76" i="1"/>
  <c r="BX80" i="1"/>
  <c r="BX87" i="1"/>
  <c r="BX4" i="1"/>
  <c r="BX9" i="1"/>
  <c r="BX17" i="1"/>
  <c r="BX26" i="1"/>
  <c r="BX40" i="1"/>
  <c r="BX50" i="1"/>
  <c r="BX54" i="1"/>
  <c r="BX62" i="1"/>
  <c r="BX74" i="1"/>
  <c r="BX85" i="1"/>
  <c r="BX6" i="1"/>
  <c r="BX10" i="1"/>
  <c r="BX14" i="1"/>
  <c r="BX18" i="1"/>
  <c r="BX23" i="1"/>
  <c r="BY23" i="1" s="1"/>
  <c r="BX27" i="1"/>
  <c r="BX32" i="1"/>
  <c r="BX36" i="1"/>
  <c r="BX41" i="1"/>
  <c r="BX47" i="1"/>
  <c r="BX51" i="1"/>
  <c r="BX55" i="1"/>
  <c r="BX59" i="1"/>
  <c r="BX63" i="1"/>
  <c r="BX70" i="1"/>
  <c r="BX75" i="1"/>
  <c r="BX79" i="1"/>
  <c r="BX86" i="1"/>
  <c r="BX13" i="1"/>
  <c r="BX22" i="1"/>
  <c r="BX31" i="1"/>
  <c r="BX35" i="1"/>
  <c r="BX46" i="1"/>
  <c r="BX58" i="1"/>
  <c r="BX66" i="1"/>
  <c r="BX69" i="1"/>
  <c r="BX78" i="1"/>
  <c r="AZ90" i="1" l="1"/>
  <c r="BY64" i="1"/>
  <c r="BY26" i="1"/>
  <c r="BY87" i="1"/>
  <c r="BY12" i="1"/>
  <c r="BY49" i="1"/>
  <c r="BY80" i="1"/>
  <c r="BY77" i="1"/>
  <c r="BY61" i="1"/>
  <c r="BY45" i="1"/>
  <c r="BY73" i="1"/>
  <c r="BY38" i="1"/>
  <c r="BY43" i="1"/>
  <c r="BY42" i="1"/>
  <c r="BY53" i="1"/>
  <c r="BY40" i="1"/>
  <c r="BY35" i="1"/>
  <c r="BY86" i="1"/>
  <c r="BY27" i="1"/>
  <c r="BY56" i="1"/>
  <c r="BY83" i="1"/>
  <c r="BY54" i="1"/>
  <c r="BY67" i="1"/>
  <c r="BY15" i="1"/>
  <c r="BY25" i="1"/>
  <c r="BY14" i="1"/>
  <c r="BY60" i="1"/>
  <c r="BY84" i="1"/>
  <c r="BY6" i="1"/>
  <c r="BY33" i="1"/>
  <c r="BY78" i="1"/>
  <c r="BY46" i="1"/>
  <c r="BY36" i="1"/>
  <c r="BY48" i="1"/>
  <c r="BY28" i="1"/>
  <c r="BY51" i="1"/>
  <c r="BY4" i="1"/>
  <c r="BY7" i="1"/>
  <c r="BY34" i="1"/>
  <c r="BY41" i="1"/>
  <c r="BY52" i="1"/>
  <c r="BY66" i="1"/>
  <c r="BY70" i="1"/>
  <c r="BY11" i="1"/>
  <c r="BY17" i="1"/>
  <c r="BY58" i="1"/>
  <c r="BY50" i="1"/>
  <c r="BY37" i="1"/>
  <c r="BY24" i="1"/>
  <c r="BY69" i="1"/>
  <c r="BY74" i="1"/>
  <c r="BY32" i="1"/>
  <c r="BY63" i="1"/>
  <c r="BY57" i="1"/>
  <c r="BY31" i="1"/>
  <c r="BY10" i="1"/>
  <c r="BY68" i="1"/>
  <c r="BY18" i="1"/>
  <c r="BY22" i="1"/>
  <c r="BK9" i="1" l="1"/>
  <c r="BY9" i="1" l="1"/>
  <c r="BK16" i="1"/>
  <c r="BK85" i="1"/>
  <c r="BK8" i="1"/>
  <c r="BK62" i="1"/>
  <c r="BK55" i="1"/>
  <c r="BK29" i="1"/>
  <c r="BK79" i="1"/>
  <c r="BK76" i="1"/>
  <c r="BK75" i="1"/>
  <c r="BK13" i="1"/>
  <c r="BK47" i="1"/>
  <c r="BY16" i="1" l="1"/>
  <c r="BY8" i="1"/>
  <c r="BY47" i="1"/>
  <c r="BY13" i="1"/>
  <c r="BY79" i="1"/>
  <c r="BY76" i="1"/>
  <c r="BY55" i="1"/>
  <c r="BY62" i="1"/>
  <c r="BY75" i="1"/>
  <c r="BY29" i="1"/>
  <c r="BY85" i="1"/>
  <c r="BK59" i="1" l="1"/>
  <c r="BY59" i="1" l="1"/>
  <c r="BY88" i="1" s="1"/>
  <c r="Q88" i="1"/>
  <c r="Q89" i="1" s="1"/>
  <c r="BK88" i="1" l="1"/>
  <c r="AA94" i="2"/>
  <c r="D94" i="2" l="1"/>
  <c r="C89" i="2"/>
  <c r="AX94" i="2" l="1"/>
  <c r="O94" i="2" l="1"/>
  <c r="E94" i="2"/>
  <c r="F94" i="2"/>
</calcChain>
</file>

<file path=xl/sharedStrings.xml><?xml version="1.0" encoding="utf-8"?>
<sst xmlns="http://schemas.openxmlformats.org/spreadsheetml/2006/main" count="629" uniqueCount="241">
  <si>
    <t>PC VA</t>
  </si>
  <si>
    <t>PC MD</t>
  </si>
  <si>
    <t>MORA</t>
  </si>
  <si>
    <t>ONA</t>
  </si>
  <si>
    <t>AFHS</t>
  </si>
  <si>
    <t>NOFO</t>
  </si>
  <si>
    <t>VOCA</t>
  </si>
  <si>
    <t>TVAP</t>
  </si>
  <si>
    <t>G. Total</t>
  </si>
  <si>
    <t>Hourly Rate</t>
  </si>
  <si>
    <t>7 Days</t>
  </si>
  <si>
    <t>Total</t>
  </si>
  <si>
    <t xml:space="preserve"> </t>
  </si>
  <si>
    <t>Barbara Callen</t>
  </si>
  <si>
    <t>Helen Gebru</t>
  </si>
  <si>
    <t>Annie Phillips</t>
  </si>
  <si>
    <t>Sarah Zullo</t>
  </si>
  <si>
    <t>Shakil Tabassum</t>
  </si>
  <si>
    <t>Akilu Debalkew</t>
  </si>
  <si>
    <t>Tahera Azizi</t>
  </si>
  <si>
    <t>Emebet Ashagre</t>
  </si>
  <si>
    <t>Iryna Gaiduk</t>
  </si>
  <si>
    <t>Laryssa Romenko</t>
  </si>
  <si>
    <t>Ajmal Amiri</t>
  </si>
  <si>
    <t>Jehanzeb Louis</t>
  </si>
  <si>
    <t>Manizha Nuzhat</t>
  </si>
  <si>
    <t>Ahmed Seyar Auobi</t>
  </si>
  <si>
    <t>Viktoria Sutanovska</t>
  </si>
  <si>
    <t>Esra Bayrakthar</t>
  </si>
  <si>
    <t>Bob Elston</t>
  </si>
  <si>
    <t>Baryalai Rawan</t>
  </si>
  <si>
    <t>Henok</t>
  </si>
  <si>
    <t>Cynthia Cole</t>
  </si>
  <si>
    <t>Desiree</t>
  </si>
  <si>
    <t>Sana Amini</t>
  </si>
  <si>
    <t>Iriana Lessen</t>
  </si>
  <si>
    <t>Kamela Azizi</t>
  </si>
  <si>
    <t>Razia Mahrami</t>
  </si>
  <si>
    <t>Anna Kurzer</t>
  </si>
  <si>
    <t>Maramjan Sadaqat</t>
  </si>
  <si>
    <t>Jeremy Schimmel</t>
  </si>
  <si>
    <t>Ruby Diaz</t>
  </si>
  <si>
    <t>Dagim McKonnen</t>
  </si>
  <si>
    <t>Megdad</t>
  </si>
  <si>
    <t>Bethelem</t>
  </si>
  <si>
    <t>Najia</t>
  </si>
  <si>
    <t>Jean</t>
  </si>
  <si>
    <t>DV</t>
  </si>
  <si>
    <t>Lema</t>
  </si>
  <si>
    <t>Firdus</t>
  </si>
  <si>
    <t>Konjit</t>
  </si>
  <si>
    <t>Atakhleti</t>
  </si>
  <si>
    <t>Ferdawok</t>
  </si>
  <si>
    <t>Eftihia</t>
  </si>
  <si>
    <t>ABI</t>
  </si>
  <si>
    <t>Yama</t>
  </si>
  <si>
    <t>Christina</t>
  </si>
  <si>
    <t>Baig</t>
  </si>
  <si>
    <t>Earnest</t>
  </si>
  <si>
    <t>Aemal</t>
  </si>
  <si>
    <t>Faye</t>
  </si>
  <si>
    <t>Hamdard</t>
  </si>
  <si>
    <t>Jamal Noori</t>
  </si>
  <si>
    <t>Freshta Atmar</t>
  </si>
  <si>
    <t>Florance</t>
  </si>
  <si>
    <t>Taylor</t>
  </si>
  <si>
    <t>Indigo</t>
  </si>
  <si>
    <t>Frishta Khalil</t>
  </si>
  <si>
    <t>Slenka Flores</t>
  </si>
  <si>
    <t>Nassrullah Mohibi</t>
  </si>
  <si>
    <t>Evette</t>
  </si>
  <si>
    <t>Egosia</t>
  </si>
  <si>
    <t>Maryam</t>
  </si>
  <si>
    <t>William Wade</t>
  </si>
  <si>
    <t>Spencer</t>
  </si>
  <si>
    <t>Elizaabeth</t>
  </si>
  <si>
    <t>Ibraham Diallo</t>
  </si>
  <si>
    <t>Leyu</t>
  </si>
  <si>
    <t>Gelila</t>
  </si>
  <si>
    <t>Ganna</t>
  </si>
  <si>
    <t>Balance</t>
  </si>
  <si>
    <t>VFHY</t>
  </si>
  <si>
    <t>`</t>
  </si>
  <si>
    <t xml:space="preserve">MG </t>
  </si>
  <si>
    <t xml:space="preserve"> 5222 MD</t>
  </si>
  <si>
    <t>5189 MD</t>
  </si>
  <si>
    <t>5189 VA</t>
  </si>
  <si>
    <t>5222 VA</t>
  </si>
  <si>
    <t>Munsif Noor Ul Haq</t>
  </si>
  <si>
    <t xml:space="preserve">Jenna </t>
  </si>
  <si>
    <t>Albab Azeze</t>
  </si>
  <si>
    <t>TBH</t>
  </si>
  <si>
    <t>TBH - Lia Russel</t>
  </si>
  <si>
    <t>TBH - Marc Aldor</t>
  </si>
  <si>
    <t>TBH - Employment Speecialist</t>
  </si>
  <si>
    <t>TBH - FatIh Casken</t>
  </si>
  <si>
    <t>TBH - Mildred</t>
  </si>
  <si>
    <t xml:space="preserve">Abeer </t>
  </si>
  <si>
    <t>done</t>
  </si>
  <si>
    <t>Done</t>
  </si>
  <si>
    <t>Ajmal Khurram</t>
  </si>
  <si>
    <t xml:space="preserve">Parwana Noori </t>
  </si>
  <si>
    <t>TBH - Myrah Osmani</t>
  </si>
  <si>
    <t>TBH - Rahila Azimi</t>
  </si>
  <si>
    <t>TBH - Afiba Beke</t>
  </si>
  <si>
    <t>TBH - Victoria Ramassini</t>
  </si>
  <si>
    <t>TBH - Victoria Neigim</t>
  </si>
  <si>
    <t>TBH - Gazala Wardak</t>
  </si>
  <si>
    <t>Travel</t>
  </si>
  <si>
    <t>Printing</t>
  </si>
  <si>
    <t>Direct</t>
  </si>
  <si>
    <t>Rent</t>
  </si>
  <si>
    <t>Data</t>
  </si>
  <si>
    <t>Auto</t>
  </si>
  <si>
    <t>Supplies</t>
  </si>
  <si>
    <t>Indirect</t>
  </si>
  <si>
    <t>Interpreter</t>
  </si>
  <si>
    <t>Fringe</t>
  </si>
  <si>
    <t>Computer</t>
  </si>
  <si>
    <t>Morgan Swindall</t>
  </si>
  <si>
    <t>Staff Dev.</t>
  </si>
  <si>
    <t>Variance</t>
  </si>
  <si>
    <t>TBH - Case Manager</t>
  </si>
  <si>
    <t>TBH- Case Manager</t>
  </si>
  <si>
    <t>Ziai Shafiullah</t>
  </si>
  <si>
    <t>Telephone</t>
  </si>
  <si>
    <t>Miramjan Sadaqat</t>
  </si>
  <si>
    <t xml:space="preserve">Wade William </t>
  </si>
  <si>
    <t>R&amp;P</t>
  </si>
  <si>
    <t>2032 RYMP</t>
  </si>
  <si>
    <t>5051 SOR</t>
  </si>
  <si>
    <t>5052 ECMP</t>
  </si>
  <si>
    <t>5059 RSS</t>
  </si>
  <si>
    <t>5196 ARSS</t>
  </si>
  <si>
    <t>Annual         Income</t>
  </si>
  <si>
    <t>Budget      Total</t>
  </si>
  <si>
    <t>RTCA FY 25 5212</t>
  </si>
  <si>
    <t>Najia Hashimzada</t>
  </si>
  <si>
    <t>TBH - Annie Phillips</t>
  </si>
  <si>
    <t>Mohammad Akbar Akbar</t>
  </si>
  <si>
    <t>Evette Phillips</t>
  </si>
  <si>
    <t>Earnest Overton</t>
  </si>
  <si>
    <t>Egosia Ajeih</t>
  </si>
  <si>
    <t>Aemal Sanjeeda</t>
  </si>
  <si>
    <t>Bethelem Alemahyehu</t>
  </si>
  <si>
    <t>Abeer Omer</t>
  </si>
  <si>
    <t>Mariam Noorzad</t>
  </si>
  <si>
    <t>Faye Biggs</t>
  </si>
  <si>
    <t>Atakhleti Alemseged</t>
  </si>
  <si>
    <t>Eftihia Ionnidou</t>
  </si>
  <si>
    <t>Taylor Woody</t>
  </si>
  <si>
    <t>Florance Ahmadi</t>
  </si>
  <si>
    <t>Hamdard Hashmatullah</t>
  </si>
  <si>
    <t>Jean Cyprien</t>
  </si>
  <si>
    <t>Konjit Edward</t>
  </si>
  <si>
    <t>Slenka Luna Flores</t>
  </si>
  <si>
    <t>Henok Shishige</t>
  </si>
  <si>
    <t>Mohammad Baig</t>
  </si>
  <si>
    <t>Ramaswami Swaminathan Abirami</t>
  </si>
  <si>
    <t>Jenna McGillcuddy</t>
  </si>
  <si>
    <t>Yama Ahmadi</t>
  </si>
  <si>
    <t>Megdad Mehmoodi</t>
  </si>
  <si>
    <t>Elizaabeth Buara Kamara</t>
  </si>
  <si>
    <t>Ferdawok Woyesa</t>
  </si>
  <si>
    <t>Tilahun Zewadi</t>
  </si>
  <si>
    <t>Firdus Yusuf</t>
  </si>
  <si>
    <t>Isabelle Veron</t>
  </si>
  <si>
    <t>Brishna Katawazai - Christina</t>
  </si>
  <si>
    <t>TBH - Outreach Coordinator</t>
  </si>
  <si>
    <t>TBH - Donation Assistant</t>
  </si>
  <si>
    <t>Total PC               MD</t>
  </si>
  <si>
    <t xml:space="preserve"> Total PC              VA      </t>
  </si>
  <si>
    <t>FY 26 ICM                    5240 30</t>
  </si>
  <si>
    <t>FY 26 ICM                      5240-33</t>
  </si>
  <si>
    <t>DV #1        2025-30</t>
  </si>
  <si>
    <t>NOFO        4007-30</t>
  </si>
  <si>
    <t>VOCA        2060-30</t>
  </si>
  <si>
    <t>TVAP        2094-30</t>
  </si>
  <si>
    <t>AFHS                      2103-30</t>
  </si>
  <si>
    <t>Food Securtity Arlington  1060-30</t>
  </si>
  <si>
    <t>VFHY    3002-30</t>
  </si>
  <si>
    <t>MG            5222-30</t>
  </si>
  <si>
    <t xml:space="preserve"> MG              5222-33 </t>
  </si>
  <si>
    <t xml:space="preserve"> R&amp;P            5213-30  </t>
  </si>
  <si>
    <t xml:space="preserve">  </t>
  </si>
  <si>
    <t>Mariela Peneranda</t>
  </si>
  <si>
    <t>TBH - Ferdawok</t>
  </si>
  <si>
    <t>TBH - Albab</t>
  </si>
  <si>
    <t>TBH - Razia Mahrami</t>
  </si>
  <si>
    <t xml:space="preserve">Razia Mahrami Replaced Desiree </t>
  </si>
  <si>
    <t>TBH Job Developer VA</t>
  </si>
  <si>
    <t>TBH - Gelila Woodimagen</t>
  </si>
  <si>
    <t>PC Initial Resettlement                    5245-33</t>
  </si>
  <si>
    <t>Maternity Frishta Khalil</t>
  </si>
  <si>
    <t>TBH - Ganna Poskara</t>
  </si>
  <si>
    <t>RSS</t>
  </si>
  <si>
    <t>ARSS</t>
  </si>
  <si>
    <t>PC Resettlement</t>
  </si>
  <si>
    <t>SOR</t>
  </si>
  <si>
    <t>RTCA</t>
  </si>
  <si>
    <t>New</t>
  </si>
  <si>
    <t>ECMP</t>
  </si>
  <si>
    <t>5245-33</t>
  </si>
  <si>
    <t>5245-30</t>
  </si>
  <si>
    <t>5240-30</t>
  </si>
  <si>
    <t>PC ICM</t>
  </si>
  <si>
    <t>RHEO</t>
  </si>
  <si>
    <t>ASA RHEO</t>
  </si>
  <si>
    <t>ASA RSS</t>
  </si>
  <si>
    <t>ASA VRSAP</t>
  </si>
  <si>
    <t>ASA MYVA</t>
  </si>
  <si>
    <t>RTCA FY 26 5247</t>
  </si>
  <si>
    <t>Oct</t>
  </si>
  <si>
    <t>Nov</t>
  </si>
  <si>
    <t>Dec</t>
  </si>
  <si>
    <t>5236-CMF #1       Oct-Dec</t>
  </si>
  <si>
    <t xml:space="preserve">R&amp;P              52130-33  </t>
  </si>
  <si>
    <t>PC ICM                 5208-30</t>
  </si>
  <si>
    <t>ASA III                    5147-30</t>
  </si>
  <si>
    <t>ASA IV                  5176-30</t>
  </si>
  <si>
    <t>PC UHP                5129-30</t>
  </si>
  <si>
    <t>PC UHP V                5211-30</t>
  </si>
  <si>
    <t>PC REA III                 5209-30</t>
  </si>
  <si>
    <t>PC Add.                5227-30</t>
  </si>
  <si>
    <t>RP PIR             5245-30</t>
  </si>
  <si>
    <t>Total R&amp;P</t>
  </si>
  <si>
    <t>PC ICM                 5208-33</t>
  </si>
  <si>
    <t>ASA II                    5124-33</t>
  </si>
  <si>
    <t>TBH - PM  (Spencer)</t>
  </si>
  <si>
    <t xml:space="preserve">Razia Mahrami </t>
  </si>
  <si>
    <t>ASA III                  5147-33</t>
  </si>
  <si>
    <t>PC ASA IV                5176-33</t>
  </si>
  <si>
    <t>PC UHP II                5145-33</t>
  </si>
  <si>
    <t>PC UHP III                 5166-33</t>
  </si>
  <si>
    <t>PC UHP IV                5175-33</t>
  </si>
  <si>
    <t>PC UHP V                5211-33</t>
  </si>
  <si>
    <t>PC REA III               5209-33</t>
  </si>
  <si>
    <t>PC Additional               5227-33</t>
  </si>
  <si>
    <t>5248 CMF #2         Jan - June</t>
  </si>
  <si>
    <t>DV #2    2126-30</t>
  </si>
  <si>
    <t>5213-30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</si>
</sst>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5" formatCode="_(* #,##0.00000_);_(* \(#,##0.00000\);_(* &quot;-&quot;??_);_(@_)"/>
    <numFmt numFmtId="166" formatCode="_(* #,##0_);_(* \(#,##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Aptos Narrow"/>
      <family val="2"/>
      <scheme val="minor"/>
    </font>
    <font>
      <sz val="8"/>
      <color rgb="FF000000"/>
      <name val="Times New Roman"/>
      <family val="1"/>
    </font>
    <font>
      <sz val="8"/>
      <color theme="1"/>
      <name val="Aptos Narrow"/>
      <family val="2"/>
      <scheme val="minor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sz val="8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rgb="FFEE0000"/>
      <name val="Aptos Narrow"/>
      <family val="2"/>
      <scheme val="minor"/>
    </font>
    <font>
      <b/>
      <sz val="8"/>
      <color rgb="FFEE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8"/>
      <color theme="1"/>
      <name val="Times New Roman"/>
      <family val="1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5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5" fillId="3" borderId="1" xfId="1" applyFont="1" applyFill="1" applyBorder="1"/>
    <xf numFmtId="43" fontId="6" fillId="0" borderId="1" xfId="1" applyFont="1" applyBorder="1"/>
    <xf numFmtId="43" fontId="6" fillId="0" borderId="3" xfId="1" applyFont="1" applyBorder="1"/>
    <xf numFmtId="0" fontId="7" fillId="2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3" fontId="5" fillId="3" borderId="1" xfId="1" applyFont="1" applyFill="1" applyBorder="1" applyAlignment="1">
      <alignment horizontal="center"/>
    </xf>
    <xf numFmtId="0" fontId="8" fillId="3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165" fontId="0" fillId="0" borderId="0" xfId="0" applyNumberFormat="1"/>
    <xf numFmtId="0" fontId="3" fillId="4" borderId="1" xfId="0" applyFont="1" applyFill="1" applyBorder="1" applyAlignment="1">
      <alignment horizontal="center"/>
    </xf>
    <xf numFmtId="164" fontId="6" fillId="4" borderId="1" xfId="1" applyNumberFormat="1" applyFont="1" applyFill="1" applyBorder="1"/>
    <xf numFmtId="164" fontId="5" fillId="4" borderId="1" xfId="1" applyNumberFormat="1" applyFont="1" applyFill="1" applyBorder="1"/>
    <xf numFmtId="164" fontId="5" fillId="4" borderId="1" xfId="1" applyNumberFormat="1" applyFont="1" applyFill="1" applyBorder="1" applyAlignment="1">
      <alignment horizontal="center"/>
    </xf>
    <xf numFmtId="43" fontId="5" fillId="5" borderId="1" xfId="1" applyFont="1" applyFill="1" applyBorder="1"/>
    <xf numFmtId="0" fontId="2" fillId="5" borderId="1" xfId="0" applyFont="1" applyFill="1" applyBorder="1" applyAlignment="1">
      <alignment horizontal="center"/>
    </xf>
    <xf numFmtId="4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43" fontId="7" fillId="2" borderId="1" xfId="1" applyFont="1" applyFill="1" applyBorder="1" applyAlignment="1">
      <alignment horizontal="center"/>
    </xf>
    <xf numFmtId="164" fontId="9" fillId="4" borderId="1" xfId="1" applyNumberFormat="1" applyFont="1" applyFill="1" applyBorder="1"/>
    <xf numFmtId="43" fontId="6" fillId="0" borderId="1" xfId="1" applyFont="1" applyBorder="1" applyAlignment="1">
      <alignment horizontal="center"/>
    </xf>
    <xf numFmtId="43" fontId="5" fillId="2" borderId="1" xfId="1" applyFont="1" applyFill="1" applyBorder="1"/>
    <xf numFmtId="43" fontId="11" fillId="0" borderId="1" xfId="1" applyFont="1" applyBorder="1" applyAlignment="1">
      <alignment horizontal="center"/>
    </xf>
    <xf numFmtId="43" fontId="11" fillId="6" borderId="1" xfId="1" applyFont="1" applyFill="1" applyBorder="1" applyAlignment="1">
      <alignment horizontal="center"/>
    </xf>
    <xf numFmtId="43" fontId="6" fillId="6" borderId="1" xfId="1" applyFont="1" applyFill="1" applyBorder="1" applyAlignment="1">
      <alignment horizontal="center"/>
    </xf>
    <xf numFmtId="43" fontId="0" fillId="0" borderId="0" xfId="0" applyNumberFormat="1"/>
    <xf numFmtId="43" fontId="6" fillId="0" borderId="0" xfId="0" applyNumberFormat="1" applyFont="1"/>
    <xf numFmtId="164" fontId="8" fillId="4" borderId="1" xfId="1" applyNumberFormat="1" applyFont="1" applyFill="1" applyBorder="1"/>
    <xf numFmtId="43" fontId="6" fillId="6" borderId="1" xfId="1" applyFont="1" applyFill="1" applyBorder="1"/>
    <xf numFmtId="43" fontId="6" fillId="3" borderId="1" xfId="1" applyFont="1" applyFill="1" applyBorder="1"/>
    <xf numFmtId="43" fontId="5" fillId="7" borderId="1" xfId="1" applyFont="1" applyFill="1" applyBorder="1"/>
    <xf numFmtId="43" fontId="10" fillId="7" borderId="1" xfId="0" applyNumberFormat="1" applyFont="1" applyFill="1" applyBorder="1"/>
    <xf numFmtId="43" fontId="6" fillId="7" borderId="1" xfId="1" applyFont="1" applyFill="1" applyBorder="1"/>
    <xf numFmtId="43" fontId="6" fillId="2" borderId="1" xfId="1" applyFont="1" applyFill="1" applyBorder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43" fontId="5" fillId="6" borderId="1" xfId="1" applyFont="1" applyFill="1" applyBorder="1"/>
    <xf numFmtId="43" fontId="6" fillId="6" borderId="0" xfId="1" applyFont="1" applyFill="1"/>
    <xf numFmtId="43" fontId="10" fillId="6" borderId="1" xfId="0" applyNumberFormat="1" applyFont="1" applyFill="1" applyBorder="1"/>
    <xf numFmtId="43" fontId="6" fillId="3" borderId="1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43" fontId="6" fillId="3" borderId="3" xfId="1" applyFont="1" applyFill="1" applyBorder="1"/>
    <xf numFmtId="43" fontId="8" fillId="0" borderId="1" xfId="1" applyFont="1" applyBorder="1" applyAlignment="1">
      <alignment horizontal="right" wrapText="1"/>
    </xf>
    <xf numFmtId="43" fontId="8" fillId="3" borderId="1" xfId="1" applyFont="1" applyFill="1" applyBorder="1" applyAlignment="1">
      <alignment horizontal="right"/>
    </xf>
    <xf numFmtId="43" fontId="8" fillId="3" borderId="1" xfId="1" applyFont="1" applyFill="1" applyBorder="1" applyAlignment="1">
      <alignment horizontal="right" vertical="top"/>
    </xf>
    <xf numFmtId="43" fontId="8" fillId="0" borderId="1" xfId="1" applyFont="1" applyBorder="1" applyAlignment="1">
      <alignment horizontal="right"/>
    </xf>
    <xf numFmtId="43" fontId="9" fillId="0" borderId="1" xfId="1" applyFont="1" applyBorder="1" applyAlignment="1">
      <alignment horizontal="right" wrapText="1"/>
    </xf>
    <xf numFmtId="43" fontId="8" fillId="0" borderId="3" xfId="1" applyFont="1" applyBorder="1" applyAlignment="1">
      <alignment horizontal="right" wrapText="1"/>
    </xf>
    <xf numFmtId="43" fontId="10" fillId="0" borderId="1" xfId="1" applyFont="1" applyBorder="1" applyAlignment="1">
      <alignment horizontal="right"/>
    </xf>
    <xf numFmtId="43" fontId="10" fillId="7" borderId="1" xfId="1" applyFont="1" applyFill="1" applyBorder="1" applyAlignment="1">
      <alignment horizontal="right"/>
    </xf>
    <xf numFmtId="43" fontId="8" fillId="3" borderId="1" xfId="1" applyFont="1" applyFill="1" applyBorder="1" applyAlignment="1">
      <alignment horizontal="right" wrapText="1"/>
    </xf>
    <xf numFmtId="43" fontId="10" fillId="3" borderId="1" xfId="1" applyFont="1" applyFill="1" applyBorder="1"/>
    <xf numFmtId="43" fontId="11" fillId="3" borderId="1" xfId="1" applyFont="1" applyFill="1" applyBorder="1" applyAlignment="1">
      <alignment horizontal="center"/>
    </xf>
    <xf numFmtId="43" fontId="5" fillId="8" borderId="1" xfId="1" applyFont="1" applyFill="1" applyBorder="1"/>
    <xf numFmtId="43" fontId="6" fillId="8" borderId="1" xfId="1" applyFont="1" applyFill="1" applyBorder="1"/>
    <xf numFmtId="43" fontId="11" fillId="0" borderId="1" xfId="1" applyFont="1" applyBorder="1"/>
    <xf numFmtId="43" fontId="8" fillId="3" borderId="1" xfId="1" applyFont="1" applyFill="1" applyBorder="1"/>
    <xf numFmtId="43" fontId="11" fillId="3" borderId="1" xfId="1" applyFont="1" applyFill="1" applyBorder="1"/>
    <xf numFmtId="43" fontId="11" fillId="0" borderId="3" xfId="1" applyFont="1" applyBorder="1"/>
    <xf numFmtId="43" fontId="10" fillId="3" borderId="1" xfId="1" applyFont="1" applyFill="1" applyBorder="1" applyAlignment="1">
      <alignment horizontal="center"/>
    </xf>
    <xf numFmtId="43" fontId="9" fillId="3" borderId="1" xfId="1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43" fontId="9" fillId="6" borderId="1" xfId="1" applyFont="1" applyFill="1" applyBorder="1" applyAlignment="1">
      <alignment horizontal="right" wrapText="1"/>
    </xf>
    <xf numFmtId="43" fontId="9" fillId="7" borderId="1" xfId="1" applyFont="1" applyFill="1" applyBorder="1"/>
    <xf numFmtId="43" fontId="10" fillId="0" borderId="1" xfId="1" applyFont="1" applyBorder="1" applyAlignment="1">
      <alignment horizontal="center"/>
    </xf>
    <xf numFmtId="43" fontId="11" fillId="7" borderId="1" xfId="1" applyFont="1" applyFill="1" applyBorder="1"/>
    <xf numFmtId="43" fontId="8" fillId="7" borderId="1" xfId="1" applyFont="1" applyFill="1" applyBorder="1"/>
    <xf numFmtId="43" fontId="9" fillId="3" borderId="1" xfId="1" applyFont="1" applyFill="1" applyBorder="1"/>
    <xf numFmtId="43" fontId="11" fillId="3" borderId="3" xfId="1" applyFont="1" applyFill="1" applyBorder="1"/>
    <xf numFmtId="43" fontId="11" fillId="6" borderId="1" xfId="1" applyFont="1" applyFill="1" applyBorder="1"/>
    <xf numFmtId="43" fontId="9" fillId="6" borderId="1" xfId="1" applyFont="1" applyFill="1" applyBorder="1"/>
    <xf numFmtId="43" fontId="6" fillId="3" borderId="0" xfId="0" applyNumberFormat="1" applyFont="1" applyFill="1"/>
    <xf numFmtId="0" fontId="0" fillId="3" borderId="0" xfId="0" applyFill="1"/>
    <xf numFmtId="0" fontId="13" fillId="4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43" fontId="6" fillId="2" borderId="1" xfId="0" applyNumberFormat="1" applyFont="1" applyFill="1" applyBorder="1"/>
    <xf numFmtId="43" fontId="6" fillId="0" borderId="0" xfId="1" applyFont="1"/>
    <xf numFmtId="43" fontId="6" fillId="10" borderId="1" xfId="1" applyFont="1" applyFill="1" applyBorder="1"/>
    <xf numFmtId="43" fontId="11" fillId="10" borderId="1" xfId="1" applyFont="1" applyFill="1" applyBorder="1"/>
    <xf numFmtId="43" fontId="10" fillId="10" borderId="1" xfId="1" applyFont="1" applyFill="1" applyBorder="1"/>
    <xf numFmtId="43" fontId="0" fillId="11" borderId="3" xfId="0" applyNumberFormat="1" applyFill="1" applyBorder="1"/>
    <xf numFmtId="43" fontId="0" fillId="11" borderId="6" xfId="0" applyNumberFormat="1" applyFill="1" applyBorder="1"/>
    <xf numFmtId="0" fontId="0" fillId="0" borderId="0" xfId="0" applyAlignment="1">
      <alignment horizontal="center"/>
    </xf>
    <xf numFmtId="0" fontId="15" fillId="4" borderId="1" xfId="0" applyFont="1" applyFill="1" applyBorder="1" applyAlignment="1">
      <alignment horizontal="center"/>
    </xf>
    <xf numFmtId="43" fontId="6" fillId="6" borderId="1" xfId="0" applyNumberFormat="1" applyFont="1" applyFill="1" applyBorder="1"/>
    <xf numFmtId="0" fontId="9" fillId="3" borderId="1" xfId="0" applyFont="1" applyFill="1" applyBorder="1" applyAlignment="1">
      <alignment horizontal="center" wrapText="1"/>
    </xf>
    <xf numFmtId="43" fontId="8" fillId="9" borderId="1" xfId="1" applyFont="1" applyFill="1" applyBorder="1" applyAlignment="1">
      <alignment horizontal="right" wrapText="1"/>
    </xf>
    <xf numFmtId="43" fontId="10" fillId="3" borderId="1" xfId="0" applyNumberFormat="1" applyFont="1" applyFill="1" applyBorder="1"/>
    <xf numFmtId="43" fontId="6" fillId="9" borderId="1" xfId="1" applyFont="1" applyFill="1" applyBorder="1"/>
    <xf numFmtId="4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3" fontId="14" fillId="6" borderId="1" xfId="0" applyNumberFormat="1" applyFont="1" applyFill="1" applyBorder="1"/>
    <xf numFmtId="43" fontId="6" fillId="0" borderId="1" xfId="1" applyFont="1" applyFill="1" applyBorder="1"/>
    <xf numFmtId="43" fontId="6" fillId="8" borderId="1" xfId="0" applyNumberFormat="1" applyFont="1" applyFill="1" applyBorder="1"/>
    <xf numFmtId="43" fontId="12" fillId="8" borderId="1" xfId="1" applyFont="1" applyFill="1" applyBorder="1"/>
    <xf numFmtId="0" fontId="7" fillId="2" borderId="1" xfId="0" applyFont="1" applyFill="1" applyBorder="1" applyAlignment="1">
      <alignment horizontal="center" wrapText="1"/>
    </xf>
    <xf numFmtId="43" fontId="10" fillId="0" borderId="1" xfId="1" applyFont="1" applyBorder="1"/>
    <xf numFmtId="43" fontId="13" fillId="8" borderId="1" xfId="1" applyFont="1" applyFill="1" applyBorder="1"/>
    <xf numFmtId="0" fontId="13" fillId="6" borderId="1" xfId="0" applyFont="1" applyFill="1" applyBorder="1" applyAlignment="1">
      <alignment horizontal="center" wrapText="1"/>
    </xf>
    <xf numFmtId="43" fontId="5" fillId="12" borderId="1" xfId="1" applyFont="1" applyFill="1" applyBorder="1"/>
    <xf numFmtId="0" fontId="12" fillId="0" borderId="1" xfId="0" applyFont="1" applyBorder="1" applyAlignment="1">
      <alignment horizontal="center" wrapText="1"/>
    </xf>
    <xf numFmtId="0" fontId="13" fillId="9" borderId="1" xfId="0" applyFont="1" applyFill="1" applyBorder="1" applyAlignment="1">
      <alignment horizontal="center" wrapText="1"/>
    </xf>
    <xf numFmtId="43" fontId="10" fillId="6" borderId="1" xfId="1" applyFont="1" applyFill="1" applyBorder="1"/>
    <xf numFmtId="43" fontId="6" fillId="4" borderId="0" xfId="1" applyFont="1" applyFill="1" applyBorder="1"/>
    <xf numFmtId="0" fontId="3" fillId="4" borderId="5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0" fillId="10" borderId="1" xfId="0" applyFill="1" applyBorder="1"/>
    <xf numFmtId="43" fontId="6" fillId="10" borderId="0" xfId="1" applyFont="1" applyFill="1" applyBorder="1"/>
    <xf numFmtId="43" fontId="17" fillId="6" borderId="1" xfId="0" applyNumberFormat="1" applyFont="1" applyFill="1" applyBorder="1"/>
    <xf numFmtId="164" fontId="10" fillId="4" borderId="1" xfId="1" applyNumberFormat="1" applyFont="1" applyFill="1" applyBorder="1"/>
    <xf numFmtId="164" fontId="9" fillId="4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wrapText="1"/>
    </xf>
    <xf numFmtId="0" fontId="18" fillId="3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center" wrapText="1"/>
    </xf>
    <xf numFmtId="0" fontId="19" fillId="11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43" fontId="7" fillId="3" borderId="1" xfId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wrapText="1"/>
    </xf>
    <xf numFmtId="43" fontId="6" fillId="0" borderId="0" xfId="1" applyFont="1" applyFill="1" applyBorder="1"/>
    <xf numFmtId="43" fontId="9" fillId="12" borderId="1" xfId="1" applyFont="1" applyFill="1" applyBorder="1"/>
    <xf numFmtId="43" fontId="16" fillId="0" borderId="0" xfId="0" applyNumberFormat="1" applyFont="1"/>
    <xf numFmtId="0" fontId="8" fillId="13" borderId="1" xfId="0" applyFont="1" applyFill="1" applyBorder="1" applyAlignment="1">
      <alignment horizontal="left" wrapText="1"/>
    </xf>
    <xf numFmtId="43" fontId="10" fillId="6" borderId="1" xfId="1" applyFont="1" applyFill="1" applyBorder="1" applyAlignment="1">
      <alignment horizontal="right"/>
    </xf>
    <xf numFmtId="44" fontId="6" fillId="0" borderId="0" xfId="0" applyNumberFormat="1" applyFont="1"/>
    <xf numFmtId="43" fontId="10" fillId="11" borderId="1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43" fontId="16" fillId="8" borderId="1" xfId="0" applyNumberFormat="1" applyFont="1" applyFill="1" applyBorder="1"/>
    <xf numFmtId="0" fontId="19" fillId="8" borderId="1" xfId="0" applyFont="1" applyFill="1" applyBorder="1" applyAlignment="1">
      <alignment horizontal="center"/>
    </xf>
    <xf numFmtId="0" fontId="19" fillId="10" borderId="3" xfId="0" applyFont="1" applyFill="1" applyBorder="1" applyAlignment="1">
      <alignment horizontal="center"/>
    </xf>
    <xf numFmtId="0" fontId="19" fillId="10" borderId="8" xfId="0" applyFont="1" applyFill="1" applyBorder="1" applyAlignment="1">
      <alignment horizontal="center"/>
    </xf>
    <xf numFmtId="0" fontId="19" fillId="10" borderId="9" xfId="0" applyFont="1" applyFill="1" applyBorder="1" applyAlignment="1">
      <alignment horizontal="center"/>
    </xf>
    <xf numFmtId="0" fontId="19" fillId="10" borderId="7" xfId="0" applyFont="1" applyFill="1" applyBorder="1" applyAlignment="1">
      <alignment horizontal="center"/>
    </xf>
    <xf numFmtId="0" fontId="19" fillId="10" borderId="10" xfId="0" applyFont="1" applyFill="1" applyBorder="1" applyAlignment="1">
      <alignment horizontal="center"/>
    </xf>
    <xf numFmtId="0" fontId="19" fillId="10" borderId="1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9" borderId="7" xfId="0" applyFont="1" applyFill="1" applyBorder="1" applyAlignment="1">
      <alignment horizontal="center"/>
    </xf>
    <xf numFmtId="166" fontId="16" fillId="0" borderId="1" xfId="1" applyNumberFormat="1" applyFont="1" applyBorder="1"/>
    <xf numFmtId="166" fontId="19" fillId="0" borderId="1" xfId="0" applyNumberFormat="1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3" fontId="6" fillId="0" borderId="6" xfId="1" applyFont="1" applyBorder="1"/>
    <xf numFmtId="43" fontId="6" fillId="0" borderId="7" xfId="1" applyFont="1" applyBorder="1"/>
    <xf numFmtId="43" fontId="6" fillId="0" borderId="8" xfId="1" applyFont="1" applyBorder="1"/>
    <xf numFmtId="43" fontId="6" fillId="0" borderId="0" xfId="1" applyFont="1" applyBorder="1"/>
    <xf numFmtId="43" fontId="6" fillId="0" borderId="10" xfId="1" applyFont="1" applyBorder="1"/>
    <xf numFmtId="164" fontId="0" fillId="0" borderId="0" xfId="0" applyNumberFormat="1"/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43" fontId="16" fillId="9" borderId="1" xfId="0" applyNumberFormat="1" applyFont="1" applyFill="1" applyBorder="1"/>
    <xf numFmtId="43" fontId="20" fillId="9" borderId="1" xfId="0" applyNumberFormat="1" applyFont="1" applyFill="1" applyBorder="1"/>
    <xf numFmtId="43" fontId="8" fillId="6" borderId="1" xfId="1" applyFont="1" applyFill="1" applyBorder="1" applyAlignment="1">
      <alignment horizontal="right" wrapText="1"/>
    </xf>
    <xf numFmtId="43" fontId="9" fillId="9" borderId="1" xfId="1" applyFont="1" applyFill="1" applyBorder="1" applyAlignment="1">
      <alignment horizontal="right" wrapText="1"/>
    </xf>
    <xf numFmtId="0" fontId="21" fillId="9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43" fontId="5" fillId="9" borderId="1" xfId="1" applyFont="1" applyFill="1" applyBorder="1" applyAlignment="1">
      <alignment wrapText="1"/>
    </xf>
    <xf numFmtId="43" fontId="5" fillId="9" borderId="1" xfId="1" applyFont="1" applyFill="1" applyBorder="1"/>
    <xf numFmtId="43" fontId="9" fillId="9" borderId="1" xfId="1" applyFont="1" applyFill="1" applyBorder="1"/>
    <xf numFmtId="0" fontId="7" fillId="5" borderId="1" xfId="0" applyFont="1" applyFill="1" applyBorder="1" applyAlignment="1">
      <alignment horizontal="center" wrapText="1"/>
    </xf>
    <xf numFmtId="43" fontId="16" fillId="6" borderId="6" xfId="0" applyNumberFormat="1" applyFont="1" applyFill="1" applyBorder="1"/>
    <xf numFmtId="44" fontId="0" fillId="0" borderId="0" xfId="0" applyNumberFormat="1"/>
    <xf numFmtId="0" fontId="0" fillId="0" borderId="6" xfId="0" applyBorder="1"/>
    <xf numFmtId="43" fontId="0" fillId="0" borderId="6" xfId="0" applyNumberFormat="1" applyBorder="1"/>
    <xf numFmtId="43" fontId="16" fillId="2" borderId="3" xfId="0" applyNumberFormat="1" applyFont="1" applyFill="1" applyBorder="1"/>
    <xf numFmtId="43" fontId="16" fillId="2" borderId="6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DV\DV%2011%20months.xlsx" TargetMode="External"/><Relationship Id="rId1" Type="http://schemas.openxmlformats.org/officeDocument/2006/relationships/externalLinkPath" Target="/FY%2026/Budget/DV/DV%2011%20month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118-30%20ASA%20RSS.xls" TargetMode="External"/><Relationship Id="rId1" Type="http://schemas.openxmlformats.org/officeDocument/2006/relationships/externalLinkPath" Target="/FY%2026/Budget/ONA/5118-30%20ASA%20RS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PC%20ICM%20Regular%20-%2030.xlsx" TargetMode="External"/><Relationship Id="rId1" Type="http://schemas.openxmlformats.org/officeDocument/2006/relationships/externalLinkPath" Target="/FY%2026/Budget/PC%20ICM%20Regular%20-%203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214%20UHP%20RHEO.xls" TargetMode="External"/><Relationship Id="rId1" Type="http://schemas.openxmlformats.org/officeDocument/2006/relationships/externalLinkPath" Target="/FY%2026/Budget/ONA/5214%20UHP%20RHEO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215%20UHP%20RSS.xls" TargetMode="External"/><Relationship Id="rId1" Type="http://schemas.openxmlformats.org/officeDocument/2006/relationships/externalLinkPath" Target="/FY%2026/Budget/ONA/5215%20UHP%20RS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216%20UHP%20VRSAP.xls" TargetMode="External"/><Relationship Id="rId1" Type="http://schemas.openxmlformats.org/officeDocument/2006/relationships/externalLinkPath" Target="/FY%2026/Budget/ONA/5216%20UHP%20VRSAP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117-30%20ASA%20RHEO.xls" TargetMode="External"/><Relationship Id="rId1" Type="http://schemas.openxmlformats.org/officeDocument/2006/relationships/externalLinkPath" Target="/FY%2026/Budget/ONA/5117-30%20ASA%20RHEO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061-30%20Reg.%20RHEO.xls" TargetMode="External"/><Relationship Id="rId1" Type="http://schemas.openxmlformats.org/officeDocument/2006/relationships/externalLinkPath" Target="/FY%2026/Budget/ONA/5061-30%20Reg.%20RHEO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062-30%20RSS.xls" TargetMode="External"/><Relationship Id="rId1" Type="http://schemas.openxmlformats.org/officeDocument/2006/relationships/externalLinkPath" Target="/FY%2026/Budget/ONA/5062-30%20RS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119%20ASA%20VRSAP.xls" TargetMode="External"/><Relationship Id="rId1" Type="http://schemas.openxmlformats.org/officeDocument/2006/relationships/externalLinkPath" Target="/FY%2026/Budget/ONA/5119%20ASA%20VRSAP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ONA\5151%20ASA%20MYVA.xls" TargetMode="External"/><Relationship Id="rId1" Type="http://schemas.openxmlformats.org/officeDocument/2006/relationships/externalLinkPath" Target="/FY%2026/Budget/ONA/5151%20ASA%20MYVA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Y%2026\Budget\MORA\5052%20ECMP.xlsx" TargetMode="External"/><Relationship Id="rId1" Type="http://schemas.openxmlformats.org/officeDocument/2006/relationships/externalLinkPath" Target="/FY%2026/Budget/MORA/5052%20EC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-1 Budget Summary"/>
      <sheetName val="P 2- Salary"/>
      <sheetName val="P 3 Benefits"/>
      <sheetName val="P 4-Other Expenses "/>
      <sheetName val="P 5-Match"/>
      <sheetName val="P-6 Indirect"/>
      <sheetName val="P-6 Indirect (2)"/>
      <sheetName val="P 7- Budget Narrative"/>
      <sheetName val="Budget Amendment"/>
    </sheetNames>
    <sheetDataSet>
      <sheetData sheetId="0"/>
      <sheetData sheetId="1"/>
      <sheetData sheetId="2">
        <row r="10">
          <cell r="L10">
            <v>48814.275000000001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 - NO NICRA @ 10%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10957.800000000001</v>
          </cell>
        </row>
        <row r="15">
          <cell r="J15">
            <v>10070.400000000001</v>
          </cell>
        </row>
        <row r="16">
          <cell r="J16">
            <v>7350</v>
          </cell>
        </row>
        <row r="17">
          <cell r="J17">
            <v>7875</v>
          </cell>
        </row>
        <row r="18">
          <cell r="J18">
            <v>7140</v>
          </cell>
        </row>
        <row r="19">
          <cell r="J19">
            <v>21000</v>
          </cell>
        </row>
        <row r="20">
          <cell r="J20">
            <v>54600</v>
          </cell>
        </row>
        <row r="21">
          <cell r="J21">
            <v>71400</v>
          </cell>
        </row>
        <row r="22">
          <cell r="J22">
            <v>57750</v>
          </cell>
        </row>
        <row r="23">
          <cell r="J23">
            <v>27956.29</v>
          </cell>
        </row>
        <row r="24">
          <cell r="J24">
            <v>57749</v>
          </cell>
        </row>
        <row r="25">
          <cell r="J25">
            <v>55912</v>
          </cell>
        </row>
        <row r="27">
          <cell r="J27">
            <v>52500</v>
          </cell>
        </row>
        <row r="28">
          <cell r="J28">
            <v>89453</v>
          </cell>
        </row>
        <row r="29">
          <cell r="J29">
            <v>52500</v>
          </cell>
        </row>
        <row r="30">
          <cell r="J30">
            <v>6825</v>
          </cell>
        </row>
        <row r="31">
          <cell r="J31">
            <v>6825</v>
          </cell>
        </row>
        <row r="32">
          <cell r="J32">
            <v>55000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C Admin &amp; Client (Regular)"/>
    </sheetNames>
    <sheetDataSet>
      <sheetData sheetId="0">
        <row r="15">
          <cell r="E15">
            <v>3287.3481000000002</v>
          </cell>
        </row>
        <row r="18">
          <cell r="E18">
            <v>2205.0036</v>
          </cell>
        </row>
        <row r="19">
          <cell r="E19">
            <v>2142</v>
          </cell>
        </row>
        <row r="24">
          <cell r="E24">
            <v>2047.5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5478.9000000000005</v>
          </cell>
        </row>
        <row r="15">
          <cell r="J15">
            <v>5035.2000000000007</v>
          </cell>
        </row>
        <row r="16">
          <cell r="J16">
            <v>8400</v>
          </cell>
        </row>
        <row r="17">
          <cell r="J17">
            <v>48532</v>
          </cell>
        </row>
        <row r="18">
          <cell r="J18">
            <v>11182.6</v>
          </cell>
        </row>
        <row r="19">
          <cell r="J19">
            <v>23355.85</v>
          </cell>
        </row>
        <row r="20">
          <cell r="J20">
            <v>3587</v>
          </cell>
        </row>
        <row r="21">
          <cell r="J21">
            <v>21420</v>
          </cell>
        </row>
        <row r="22">
          <cell r="J22">
            <v>3937.5</v>
          </cell>
        </row>
        <row r="23">
          <cell r="J23">
            <v>3675</v>
          </cell>
        </row>
        <row r="24">
          <cell r="J24">
            <v>3412.5</v>
          </cell>
        </row>
        <row r="25">
          <cell r="J25">
            <v>3412.5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4383.12</v>
          </cell>
        </row>
        <row r="15">
          <cell r="J15">
            <v>4028.1600000000003</v>
          </cell>
        </row>
        <row r="16">
          <cell r="J16">
            <v>8400</v>
          </cell>
        </row>
        <row r="17">
          <cell r="J17">
            <v>9099.75</v>
          </cell>
        </row>
        <row r="18">
          <cell r="J18">
            <v>20019.3</v>
          </cell>
        </row>
        <row r="19">
          <cell r="J19">
            <v>2856</v>
          </cell>
        </row>
        <row r="20">
          <cell r="J20">
            <v>3150</v>
          </cell>
        </row>
        <row r="21">
          <cell r="J21">
            <v>2940</v>
          </cell>
        </row>
        <row r="22">
          <cell r="J22">
            <v>24990</v>
          </cell>
        </row>
        <row r="23">
          <cell r="J23">
            <v>30751.5</v>
          </cell>
        </row>
        <row r="24">
          <cell r="J24">
            <v>26250</v>
          </cell>
        </row>
        <row r="25">
          <cell r="J25">
            <v>16773.599999999999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8766.24</v>
          </cell>
        </row>
        <row r="15">
          <cell r="J15">
            <v>8056.3200000000006</v>
          </cell>
        </row>
        <row r="16">
          <cell r="J16">
            <v>8400</v>
          </cell>
        </row>
        <row r="17">
          <cell r="J17">
            <v>26692.400000000001</v>
          </cell>
        </row>
        <row r="18">
          <cell r="J18">
            <v>6066.5</v>
          </cell>
        </row>
        <row r="19">
          <cell r="J19">
            <v>27956</v>
          </cell>
        </row>
        <row r="20">
          <cell r="J20">
            <v>5739.2</v>
          </cell>
        </row>
        <row r="21">
          <cell r="J21">
            <v>6300</v>
          </cell>
        </row>
        <row r="22">
          <cell r="J22">
            <v>5880</v>
          </cell>
        </row>
        <row r="23">
          <cell r="J23">
            <v>6825</v>
          </cell>
        </row>
        <row r="24">
          <cell r="J24">
            <v>24990</v>
          </cell>
        </row>
        <row r="25">
          <cell r="J25">
            <v>6825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 - NO NICRA @ 10%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5478.9500000000007</v>
          </cell>
        </row>
        <row r="15">
          <cell r="J15">
            <v>5035.2000000000007</v>
          </cell>
        </row>
        <row r="16">
          <cell r="J16">
            <v>3675</v>
          </cell>
        </row>
        <row r="17">
          <cell r="J17">
            <v>70449</v>
          </cell>
        </row>
        <row r="18">
          <cell r="J18">
            <v>60665</v>
          </cell>
        </row>
        <row r="19">
          <cell r="J19">
            <v>27956.29</v>
          </cell>
        </row>
        <row r="20">
          <cell r="J20">
            <v>12600</v>
          </cell>
        </row>
        <row r="21">
          <cell r="J21">
            <v>3937.5</v>
          </cell>
        </row>
        <row r="22">
          <cell r="J22">
            <v>3570</v>
          </cell>
        </row>
        <row r="23">
          <cell r="J23">
            <v>17850</v>
          </cell>
        </row>
        <row r="24">
          <cell r="J24">
            <v>6825</v>
          </cell>
        </row>
        <row r="25">
          <cell r="J25">
            <v>6825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2191.58</v>
          </cell>
        </row>
        <row r="15">
          <cell r="J15">
            <v>2014.0800000000002</v>
          </cell>
        </row>
        <row r="16">
          <cell r="J16">
            <v>7140</v>
          </cell>
        </row>
        <row r="17">
          <cell r="J17">
            <v>62398.350000000006</v>
          </cell>
        </row>
        <row r="18">
          <cell r="J18">
            <v>1680</v>
          </cell>
        </row>
        <row r="19">
          <cell r="J19">
            <v>1470</v>
          </cell>
        </row>
        <row r="20">
          <cell r="J20">
            <v>1575</v>
          </cell>
        </row>
        <row r="21">
          <cell r="J21">
            <v>1428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3287.37</v>
          </cell>
        </row>
        <row r="15">
          <cell r="J15">
            <v>3021.12</v>
          </cell>
        </row>
        <row r="16">
          <cell r="J16">
            <v>4200</v>
          </cell>
        </row>
        <row r="17">
          <cell r="J17">
            <v>60665</v>
          </cell>
        </row>
        <row r="18">
          <cell r="J18">
            <v>2205</v>
          </cell>
        </row>
        <row r="19">
          <cell r="J19">
            <v>2362.5</v>
          </cell>
        </row>
        <row r="20">
          <cell r="J20">
            <v>2142</v>
          </cell>
        </row>
        <row r="21">
          <cell r="J21">
            <v>6825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 - NO NICRA @ 10%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4383.12</v>
          </cell>
        </row>
        <row r="15">
          <cell r="J15">
            <v>4028.1600000000003</v>
          </cell>
        </row>
        <row r="16">
          <cell r="J16">
            <v>2940</v>
          </cell>
        </row>
        <row r="17">
          <cell r="J17">
            <v>3150</v>
          </cell>
        </row>
        <row r="18">
          <cell r="J18">
            <v>2856</v>
          </cell>
        </row>
        <row r="19">
          <cell r="J19">
            <v>14280</v>
          </cell>
        </row>
        <row r="20">
          <cell r="J20">
            <v>52732</v>
          </cell>
        </row>
        <row r="21">
          <cell r="J21">
            <v>8400</v>
          </cell>
        </row>
        <row r="22">
          <cell r="J22">
            <v>10450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Indirect Cost Q&amp;A"/>
      <sheetName val="P 1-Budget Summary"/>
      <sheetName val="P 2-Salary "/>
      <sheetName val="P 3 Benefits"/>
      <sheetName val="P 4-Other Yearly Expenses "/>
      <sheetName val="P-5 Indirect - NO NICRA @ 10%"/>
      <sheetName val="P-5 Indirect (NICRA)"/>
      <sheetName val="P 6-Budget Narrative"/>
    </sheetNames>
    <sheetDataSet>
      <sheetData sheetId="0"/>
      <sheetData sheetId="1"/>
      <sheetData sheetId="2"/>
      <sheetData sheetId="3">
        <row r="14">
          <cell r="J14">
            <v>5400</v>
          </cell>
        </row>
        <row r="15">
          <cell r="J15">
            <v>4236.3455999999996</v>
          </cell>
        </row>
        <row r="16">
          <cell r="J16">
            <v>2940</v>
          </cell>
        </row>
        <row r="17">
          <cell r="J17">
            <v>3150</v>
          </cell>
        </row>
        <row r="18">
          <cell r="J18">
            <v>2856</v>
          </cell>
        </row>
        <row r="19">
          <cell r="J19">
            <v>14680</v>
          </cell>
        </row>
        <row r="20">
          <cell r="J20">
            <v>42000</v>
          </cell>
        </row>
        <row r="21">
          <cell r="J21">
            <v>12600</v>
          </cell>
        </row>
        <row r="22">
          <cell r="J22">
            <v>13183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-1 Pricing Proposal "/>
      <sheetName val="G-2 Budget"/>
    </sheetNames>
    <sheetDataSet>
      <sheetData sheetId="0"/>
      <sheetData sheetId="1"/>
      <sheetData sheetId="2">
        <row r="11">
          <cell r="E11">
            <v>10957.895</v>
          </cell>
        </row>
        <row r="20">
          <cell r="E20">
            <v>52500</v>
          </cell>
        </row>
        <row r="27">
          <cell r="E27">
            <v>52500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CC51-C864-42BA-84EF-1A4E5066B17C}">
  <dimension ref="A2:CD120"/>
  <sheetViews>
    <sheetView topLeftCell="B1" workbookViewId="0">
      <pane xSplit="1" topLeftCell="C1" activePane="topRight" state="frozen"/>
      <selection activeCell="B3" sqref="B3"/>
      <selection pane="topRight" activeCell="A3" sqref="A3"/>
    </sheetView>
  </sheetViews>
  <sheetFormatPr defaultRowHeight="15" x14ac:dyDescent="0.25"/>
  <cols>
    <col min="1" max="1" width="5.7109375" customWidth="1"/>
    <col min="2" max="2" width="28.5703125" customWidth="1"/>
    <col min="3" max="3" width="9.7109375" customWidth="1"/>
    <col min="4" max="4" width="6.5703125" customWidth="1"/>
    <col min="5" max="5" width="8.85546875" customWidth="1"/>
    <col min="6" max="6" width="9" customWidth="1"/>
    <col min="7" max="7" width="7.5703125" customWidth="1"/>
    <col min="8" max="8" width="9.7109375" customWidth="1"/>
    <col min="9" max="9" width="9.42578125" customWidth="1"/>
    <col min="10" max="11" width="9.5703125" customWidth="1"/>
    <col min="12" max="12" width="10.140625" customWidth="1"/>
    <col min="13" max="13" width="9.28515625" customWidth="1"/>
    <col min="14" max="15" width="9.7109375" customWidth="1"/>
    <col min="16" max="16" width="10" customWidth="1"/>
    <col min="17" max="32" width="11" customWidth="1"/>
    <col min="33" max="33" width="11.28515625" bestFit="1" customWidth="1"/>
    <col min="34" max="35" width="9.140625" customWidth="1"/>
    <col min="36" max="37" width="10.5703125" customWidth="1"/>
    <col min="38" max="41" width="9.140625" customWidth="1"/>
    <col min="42" max="42" width="12.140625" customWidth="1"/>
    <col min="43" max="43" width="9.7109375" customWidth="1"/>
    <col min="44" max="44" width="9.28515625" customWidth="1"/>
    <col min="45" max="45" width="10.5703125" customWidth="1"/>
    <col min="46" max="46" width="10.42578125" customWidth="1"/>
    <col min="47" max="47" width="9.7109375" customWidth="1"/>
    <col min="48" max="48" width="8.85546875" customWidth="1"/>
    <col min="49" max="49" width="9.140625" customWidth="1"/>
    <col min="50" max="50" width="9.5703125" customWidth="1"/>
    <col min="51" max="51" width="8.85546875" customWidth="1"/>
    <col min="52" max="52" width="10.42578125" bestFit="1" customWidth="1"/>
    <col min="53" max="56" width="10.42578125" customWidth="1"/>
    <col min="63" max="63" width="10.85546875" customWidth="1"/>
    <col min="64" max="64" width="11" customWidth="1"/>
    <col min="65" max="65" width="9.28515625" customWidth="1"/>
    <col min="66" max="66" width="10" customWidth="1"/>
    <col min="67" max="75" width="9.42578125" bestFit="1" customWidth="1"/>
    <col min="76" max="76" width="9.85546875" bestFit="1" customWidth="1"/>
    <col min="77" max="77" width="13.28515625" bestFit="1" customWidth="1"/>
    <col min="79" max="79" width="11.5703125" bestFit="1" customWidth="1"/>
    <col min="80" max="80" width="10.5703125" bestFit="1" customWidth="1"/>
  </cols>
  <sheetData>
    <row r="2" spans="1:80" x14ac:dyDescent="0.25">
      <c r="AH2" s="159" t="s">
        <v>2</v>
      </c>
      <c r="AI2" s="160"/>
      <c r="AJ2" s="160"/>
      <c r="AK2" s="160"/>
      <c r="AL2" s="160"/>
      <c r="AM2" s="160"/>
      <c r="AN2" s="160"/>
      <c r="AO2" s="161"/>
      <c r="AQ2" s="158" t="s">
        <v>3</v>
      </c>
      <c r="AR2" s="158"/>
      <c r="AS2" s="158"/>
      <c r="AT2" s="158"/>
      <c r="AU2" s="158"/>
      <c r="AV2" s="158"/>
      <c r="AW2" s="158"/>
      <c r="AX2" s="158"/>
      <c r="AY2" s="158"/>
      <c r="BA2" s="159" t="s">
        <v>83</v>
      </c>
      <c r="BB2" s="160"/>
      <c r="BC2" s="160"/>
      <c r="BD2" s="161"/>
      <c r="BM2" s="39">
        <v>80</v>
      </c>
      <c r="BN2" s="40">
        <v>80</v>
      </c>
      <c r="BO2" s="40">
        <v>80</v>
      </c>
      <c r="BP2" s="40">
        <v>80</v>
      </c>
      <c r="BQ2" s="40">
        <v>80</v>
      </c>
      <c r="BR2" s="40">
        <v>80</v>
      </c>
      <c r="BS2" s="40">
        <v>80</v>
      </c>
      <c r="BT2" s="40">
        <v>80</v>
      </c>
      <c r="BU2" s="40">
        <v>80</v>
      </c>
      <c r="BV2" s="40">
        <v>80</v>
      </c>
      <c r="BW2" s="41">
        <v>56</v>
      </c>
    </row>
    <row r="3" spans="1:80" x14ac:dyDescent="0.25">
      <c r="C3" s="46">
        <v>5124</v>
      </c>
      <c r="D3" s="46">
        <v>5134</v>
      </c>
      <c r="E3" s="46">
        <v>5145</v>
      </c>
      <c r="F3" s="46">
        <v>5147</v>
      </c>
      <c r="G3" s="46">
        <v>5164</v>
      </c>
      <c r="H3" s="46">
        <v>5166</v>
      </c>
      <c r="I3" s="46">
        <v>5173</v>
      </c>
      <c r="J3" s="46">
        <v>5174</v>
      </c>
      <c r="K3" s="46">
        <v>5175</v>
      </c>
      <c r="L3" s="46">
        <v>5176</v>
      </c>
      <c r="M3" s="46">
        <v>5208</v>
      </c>
      <c r="N3" s="46">
        <v>5209</v>
      </c>
      <c r="O3" s="46">
        <v>5211</v>
      </c>
      <c r="P3" s="46">
        <v>5227</v>
      </c>
      <c r="Q3" s="46" t="s">
        <v>0</v>
      </c>
      <c r="R3" s="46">
        <v>5124</v>
      </c>
      <c r="S3" s="46">
        <v>5129</v>
      </c>
      <c r="T3" s="46">
        <v>5134</v>
      </c>
      <c r="U3" s="46">
        <v>5145</v>
      </c>
      <c r="V3" s="46">
        <v>5147</v>
      </c>
      <c r="W3" s="46">
        <v>5164</v>
      </c>
      <c r="X3" s="46">
        <v>5166</v>
      </c>
      <c r="Y3" s="46">
        <v>5173</v>
      </c>
      <c r="Z3" s="46">
        <v>5174</v>
      </c>
      <c r="AA3" s="46">
        <v>5175</v>
      </c>
      <c r="AB3" s="46">
        <v>5176</v>
      </c>
      <c r="AC3" s="46">
        <v>5208</v>
      </c>
      <c r="AD3" s="46">
        <v>5209</v>
      </c>
      <c r="AE3" s="46">
        <v>5211</v>
      </c>
      <c r="AF3" s="46">
        <v>5227</v>
      </c>
      <c r="AG3" s="46" t="s">
        <v>1</v>
      </c>
      <c r="AH3" s="46">
        <v>2032</v>
      </c>
      <c r="AI3" s="46">
        <v>5051</v>
      </c>
      <c r="AJ3" s="46">
        <v>5052</v>
      </c>
      <c r="AK3" s="46">
        <v>5059</v>
      </c>
      <c r="AL3" s="46">
        <v>5140</v>
      </c>
      <c r="AM3" s="46">
        <v>5155</v>
      </c>
      <c r="AN3" s="46">
        <v>5187</v>
      </c>
      <c r="AO3" s="46">
        <v>5196</v>
      </c>
      <c r="AP3" s="23" t="s">
        <v>2</v>
      </c>
      <c r="AQ3" s="46">
        <v>5061</v>
      </c>
      <c r="AR3" s="46">
        <v>5062</v>
      </c>
      <c r="AS3" s="46">
        <v>5117</v>
      </c>
      <c r="AT3" s="46">
        <v>5118</v>
      </c>
      <c r="AU3" s="46">
        <v>5119</v>
      </c>
      <c r="AV3" s="1">
        <v>5151</v>
      </c>
      <c r="AW3" s="1">
        <v>5214</v>
      </c>
      <c r="AX3" s="1">
        <v>5215</v>
      </c>
      <c r="AY3" s="1">
        <v>5216</v>
      </c>
      <c r="AZ3" s="6" t="s">
        <v>3</v>
      </c>
      <c r="BA3" s="6" t="s">
        <v>84</v>
      </c>
      <c r="BB3" s="6" t="s">
        <v>85</v>
      </c>
      <c r="BC3" s="6" t="s">
        <v>86</v>
      </c>
      <c r="BD3" s="6" t="s">
        <v>87</v>
      </c>
      <c r="BE3" s="6" t="s">
        <v>4</v>
      </c>
      <c r="BF3" s="6" t="s">
        <v>81</v>
      </c>
      <c r="BG3" s="6" t="s">
        <v>47</v>
      </c>
      <c r="BH3" s="6" t="s">
        <v>5</v>
      </c>
      <c r="BI3" s="6" t="s">
        <v>6</v>
      </c>
      <c r="BJ3" s="2" t="s">
        <v>7</v>
      </c>
      <c r="BK3" s="20" t="s">
        <v>8</v>
      </c>
      <c r="BL3" s="15" t="s">
        <v>9</v>
      </c>
      <c r="BM3" s="7">
        <v>45793</v>
      </c>
      <c r="BN3" s="7">
        <v>45807</v>
      </c>
      <c r="BO3" s="7">
        <v>45821</v>
      </c>
      <c r="BP3" s="7">
        <v>45835</v>
      </c>
      <c r="BQ3" s="7">
        <v>45849</v>
      </c>
      <c r="BR3" s="7">
        <v>45863</v>
      </c>
      <c r="BS3" s="7">
        <v>45877</v>
      </c>
      <c r="BT3" s="7">
        <v>45891</v>
      </c>
      <c r="BU3" s="7">
        <v>45905</v>
      </c>
      <c r="BV3" s="7">
        <v>45919</v>
      </c>
      <c r="BW3" s="7" t="s">
        <v>10</v>
      </c>
      <c r="BX3" s="8" t="s">
        <v>11</v>
      </c>
      <c r="BY3" s="22" t="s">
        <v>80</v>
      </c>
    </row>
    <row r="4" spans="1:80" ht="15" customHeight="1" x14ac:dyDescent="0.25">
      <c r="A4" s="71">
        <v>1</v>
      </c>
      <c r="B4" s="12" t="s">
        <v>89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37">
        <f>SUM(C4:P4)</f>
        <v>0</v>
      </c>
      <c r="R4" s="34"/>
      <c r="S4" s="34"/>
      <c r="T4" s="34"/>
      <c r="U4" s="34"/>
      <c r="V4" s="34">
        <f>16619.68</f>
        <v>16619.68</v>
      </c>
      <c r="W4" s="34"/>
      <c r="X4" s="34"/>
      <c r="Y4" s="34"/>
      <c r="Z4" s="34"/>
      <c r="AA4" s="34"/>
      <c r="AB4" s="34"/>
      <c r="AC4" s="34"/>
      <c r="AD4" s="34"/>
      <c r="AE4" s="34"/>
      <c r="AF4" s="34"/>
      <c r="AG4" s="37">
        <f>SUM(R4:AF4)</f>
        <v>16619.68</v>
      </c>
      <c r="AH4" s="4"/>
      <c r="AI4" s="4"/>
      <c r="AJ4" s="4"/>
      <c r="AK4" s="63"/>
      <c r="AL4" s="4"/>
      <c r="AM4" s="4"/>
      <c r="AN4" s="4"/>
      <c r="AO4" s="4"/>
      <c r="AP4" s="35">
        <f>SUM(AH4:AO4)</f>
        <v>0</v>
      </c>
      <c r="AQ4" s="4"/>
      <c r="AR4" s="4"/>
      <c r="AS4" s="4"/>
      <c r="AT4" s="4"/>
      <c r="AU4" s="4"/>
      <c r="AV4" s="4"/>
      <c r="AW4" s="4"/>
      <c r="AX4" s="4"/>
      <c r="AY4" s="4"/>
      <c r="AZ4" s="35">
        <f t="shared" ref="AZ4:AZ10" si="0">SUM(AQ4:AY4)</f>
        <v>0</v>
      </c>
      <c r="BA4" s="35"/>
      <c r="BB4" s="35"/>
      <c r="BC4" s="35"/>
      <c r="BD4" s="35"/>
      <c r="BE4" s="37"/>
      <c r="BF4" s="37"/>
      <c r="BG4" s="37">
        <v>0</v>
      </c>
      <c r="BH4" s="37"/>
      <c r="BI4" s="37">
        <v>0</v>
      </c>
      <c r="BJ4" s="37"/>
      <c r="BK4" s="19">
        <f>+Q4+AP4+AZ4+BE4+BH4+BI4+BJ4+BG4+AG4+BF4+BA4+BD4+BB4+BC4</f>
        <v>16619.68</v>
      </c>
      <c r="BL4" s="16">
        <v>24.038499999999999</v>
      </c>
      <c r="BM4" s="34">
        <v>0</v>
      </c>
      <c r="BN4" s="34">
        <v>0</v>
      </c>
      <c r="BO4" s="34">
        <f t="shared" ref="BO4:BW4" si="1">BO2*$BL$4</f>
        <v>1923.08</v>
      </c>
      <c r="BP4" s="34">
        <f t="shared" si="1"/>
        <v>1923.08</v>
      </c>
      <c r="BQ4" s="34">
        <f t="shared" si="1"/>
        <v>1923.08</v>
      </c>
      <c r="BR4" s="34">
        <f t="shared" si="1"/>
        <v>1923.08</v>
      </c>
      <c r="BS4" s="34">
        <f t="shared" si="1"/>
        <v>1923.08</v>
      </c>
      <c r="BT4" s="34">
        <f t="shared" si="1"/>
        <v>1923.08</v>
      </c>
      <c r="BU4" s="34">
        <f t="shared" si="1"/>
        <v>1923.08</v>
      </c>
      <c r="BV4" s="34">
        <f t="shared" si="1"/>
        <v>1923.08</v>
      </c>
      <c r="BW4" s="34">
        <f t="shared" si="1"/>
        <v>1346.1559999999999</v>
      </c>
      <c r="BX4" s="34">
        <f>SUM(BM4:BW4)</f>
        <v>16730.795999999998</v>
      </c>
      <c r="BY4" s="65">
        <f>+BK4-BX4</f>
        <v>-111.11599999999817</v>
      </c>
    </row>
    <row r="5" spans="1:80" ht="15" customHeight="1" x14ac:dyDescent="0.25">
      <c r="A5" s="71">
        <v>2</v>
      </c>
      <c r="B5" s="12" t="s">
        <v>97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37">
        <f t="shared" ref="Q5:Q71" si="2">SUM(C5:P5)</f>
        <v>0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7">
        <f t="shared" ref="AG5:AG71" si="3">SUM(R5:AF5)</f>
        <v>0</v>
      </c>
      <c r="AH5" s="4"/>
      <c r="AI5" s="4"/>
      <c r="AJ5" s="4"/>
      <c r="AK5" s="63"/>
      <c r="AL5" s="4"/>
      <c r="AM5" s="4"/>
      <c r="AN5" s="4"/>
      <c r="AO5" s="4"/>
      <c r="AP5" s="35">
        <f t="shared" ref="AP5:AP71" si="4">SUM(AH5:AO5)</f>
        <v>0</v>
      </c>
      <c r="AQ5" s="4"/>
      <c r="AR5" s="4"/>
      <c r="AS5" s="4"/>
      <c r="AT5" s="4"/>
      <c r="AU5" s="4"/>
      <c r="AV5" s="4"/>
      <c r="AW5" s="4"/>
      <c r="AX5" s="4"/>
      <c r="AY5" s="4"/>
      <c r="AZ5" s="35"/>
      <c r="BA5" s="35"/>
      <c r="BB5" s="35"/>
      <c r="BC5" s="35"/>
      <c r="BD5" s="35"/>
      <c r="BE5" s="75"/>
      <c r="BF5" s="75"/>
      <c r="BG5" s="75">
        <v>12973.01</v>
      </c>
      <c r="BH5" s="75"/>
      <c r="BI5" s="75">
        <v>947.92</v>
      </c>
      <c r="BJ5" s="37">
        <v>11917.33</v>
      </c>
      <c r="BK5" s="19">
        <f t="shared" ref="BK5:BK72" si="5">+Q5+AP5+AZ5+BE5+BH5+BI5+BJ5+BG5+AG5+BF5+BA5+BD5+BB5+BC5</f>
        <v>25838.260000000002</v>
      </c>
      <c r="BL5" s="16">
        <v>24.038499999999999</v>
      </c>
      <c r="BM5" s="4">
        <f>$BM$2*$BL$6</f>
        <v>2048.08</v>
      </c>
      <c r="BN5" s="4">
        <f t="shared" ref="BN5:BW6" si="6">$BM$2*$BL$6</f>
        <v>2048.08</v>
      </c>
      <c r="BO5" s="4">
        <f t="shared" si="6"/>
        <v>2048.08</v>
      </c>
      <c r="BP5" s="4">
        <f t="shared" si="6"/>
        <v>2048.08</v>
      </c>
      <c r="BQ5" s="4">
        <f t="shared" si="6"/>
        <v>2048.08</v>
      </c>
      <c r="BR5" s="4">
        <f t="shared" si="6"/>
        <v>2048.08</v>
      </c>
      <c r="BS5" s="4">
        <f t="shared" si="6"/>
        <v>2048.08</v>
      </c>
      <c r="BT5" s="4">
        <f t="shared" si="6"/>
        <v>2048.08</v>
      </c>
      <c r="BU5" s="4">
        <f t="shared" si="6"/>
        <v>2048.08</v>
      </c>
      <c r="BV5" s="4">
        <f t="shared" si="6"/>
        <v>2048.08</v>
      </c>
      <c r="BW5" s="4">
        <f t="shared" si="6"/>
        <v>2048.08</v>
      </c>
      <c r="BX5" s="4">
        <f>SUM(BM5:BW5)</f>
        <v>22528.880000000005</v>
      </c>
      <c r="BY5" s="27">
        <f>+BK5-BX5</f>
        <v>3309.3799999999974</v>
      </c>
      <c r="CA5">
        <f>+BL5*2080</f>
        <v>50000.08</v>
      </c>
    </row>
    <row r="6" spans="1:80" ht="14.25" customHeight="1" x14ac:dyDescent="0.25">
      <c r="A6" s="71">
        <v>3</v>
      </c>
      <c r="B6" s="12" t="s">
        <v>54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37">
        <f t="shared" si="2"/>
        <v>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7">
        <f t="shared" si="3"/>
        <v>0</v>
      </c>
      <c r="AH6" s="4"/>
      <c r="AI6" s="4"/>
      <c r="AJ6" s="4"/>
      <c r="AK6" s="63"/>
      <c r="AL6" s="4"/>
      <c r="AM6" s="4"/>
      <c r="AN6" s="4"/>
      <c r="AO6" s="4"/>
      <c r="AP6" s="35">
        <f t="shared" si="4"/>
        <v>0</v>
      </c>
      <c r="AQ6" s="4"/>
      <c r="AR6" s="4"/>
      <c r="AS6" s="4">
        <v>13753.82</v>
      </c>
      <c r="AT6" s="4">
        <v>15253.83</v>
      </c>
      <c r="AU6" s="4"/>
      <c r="AV6" s="4"/>
      <c r="AW6" s="4"/>
      <c r="AX6" s="4"/>
      <c r="AY6" s="4"/>
      <c r="AZ6" s="35">
        <f t="shared" si="0"/>
        <v>29007.65</v>
      </c>
      <c r="BA6" s="35"/>
      <c r="BB6" s="35"/>
      <c r="BC6" s="35"/>
      <c r="BD6" s="35"/>
      <c r="BE6" s="75"/>
      <c r="BF6" s="75"/>
      <c r="BG6" s="75"/>
      <c r="BH6" s="75"/>
      <c r="BI6" s="75"/>
      <c r="BJ6" s="37"/>
      <c r="BK6" s="19">
        <f t="shared" si="5"/>
        <v>29007.65</v>
      </c>
      <c r="BL6" s="16">
        <v>25.600999999999999</v>
      </c>
      <c r="BM6" s="4">
        <f>$BM$2*$BL$6</f>
        <v>2048.08</v>
      </c>
      <c r="BN6" s="4">
        <f t="shared" si="6"/>
        <v>2048.08</v>
      </c>
      <c r="BO6" s="4">
        <f t="shared" si="6"/>
        <v>2048.08</v>
      </c>
      <c r="BP6" s="4">
        <f t="shared" si="6"/>
        <v>2048.08</v>
      </c>
      <c r="BQ6" s="4">
        <f t="shared" si="6"/>
        <v>2048.08</v>
      </c>
      <c r="BR6" s="4">
        <f t="shared" si="6"/>
        <v>2048.08</v>
      </c>
      <c r="BS6" s="4">
        <f t="shared" si="6"/>
        <v>2048.08</v>
      </c>
      <c r="BT6" s="4">
        <f t="shared" si="6"/>
        <v>2048.08</v>
      </c>
      <c r="BU6" s="4">
        <f t="shared" si="6"/>
        <v>2048.08</v>
      </c>
      <c r="BV6" s="4">
        <f t="shared" si="6"/>
        <v>2048.08</v>
      </c>
      <c r="BW6" s="4">
        <f t="shared" si="6"/>
        <v>2048.08</v>
      </c>
      <c r="BX6" s="4">
        <f t="shared" ref="BX6:BX74" si="7">SUM(BM6:BW6)</f>
        <v>22528.880000000005</v>
      </c>
      <c r="BY6" s="25">
        <f t="shared" ref="BY6:BY74" si="8">+BK6-BX6</f>
        <v>6478.7699999999968</v>
      </c>
      <c r="CA6" s="86">
        <f t="shared" ref="CA6:CA69" si="9">+BL6*2080</f>
        <v>53250.080000000002</v>
      </c>
    </row>
    <row r="7" spans="1:80" x14ac:dyDescent="0.25">
      <c r="A7" s="71">
        <f t="shared" ref="A7:A72" si="10">+A6+1</f>
        <v>4</v>
      </c>
      <c r="B7" s="12" t="s">
        <v>59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37">
        <f t="shared" si="2"/>
        <v>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7">
        <f t="shared" si="3"/>
        <v>0</v>
      </c>
      <c r="AH7" s="4"/>
      <c r="AI7" s="4"/>
      <c r="AJ7" s="4"/>
      <c r="AK7" s="63"/>
      <c r="AL7" s="4"/>
      <c r="AM7" s="4"/>
      <c r="AN7" s="4"/>
      <c r="AO7" s="4"/>
      <c r="AP7" s="35">
        <f t="shared" si="4"/>
        <v>0</v>
      </c>
      <c r="AQ7" s="4"/>
      <c r="AR7" s="4"/>
      <c r="AS7" s="4"/>
      <c r="AT7" s="4">
        <v>29538.41</v>
      </c>
      <c r="AU7" s="4"/>
      <c r="AV7" s="4"/>
      <c r="AW7" s="4"/>
      <c r="AX7" s="4"/>
      <c r="AY7" s="4"/>
      <c r="AZ7" s="35">
        <f t="shared" si="0"/>
        <v>29538.41</v>
      </c>
      <c r="BA7" s="35"/>
      <c r="BB7" s="35"/>
      <c r="BC7" s="35"/>
      <c r="BD7" s="35"/>
      <c r="BE7" s="75"/>
      <c r="BF7" s="75"/>
      <c r="BG7" s="75"/>
      <c r="BH7" s="75"/>
      <c r="BI7" s="75"/>
      <c r="BJ7" s="37"/>
      <c r="BK7" s="19">
        <f t="shared" si="5"/>
        <v>29538.41</v>
      </c>
      <c r="BL7" s="16">
        <v>26.442299999999999</v>
      </c>
      <c r="BM7" s="4">
        <f>+$BL$7*BM2</f>
        <v>2115.384</v>
      </c>
      <c r="BN7" s="4">
        <f t="shared" ref="BN7:BW7" si="11">+$BL$7*BN2</f>
        <v>2115.384</v>
      </c>
      <c r="BO7" s="4">
        <f t="shared" si="11"/>
        <v>2115.384</v>
      </c>
      <c r="BP7" s="4">
        <f t="shared" si="11"/>
        <v>2115.384</v>
      </c>
      <c r="BQ7" s="4">
        <f t="shared" si="11"/>
        <v>2115.384</v>
      </c>
      <c r="BR7" s="4">
        <f t="shared" si="11"/>
        <v>2115.384</v>
      </c>
      <c r="BS7" s="4">
        <f t="shared" si="11"/>
        <v>2115.384</v>
      </c>
      <c r="BT7" s="4">
        <f t="shared" si="11"/>
        <v>2115.384</v>
      </c>
      <c r="BU7" s="4">
        <f t="shared" si="11"/>
        <v>2115.384</v>
      </c>
      <c r="BV7" s="4">
        <f t="shared" si="11"/>
        <v>2115.384</v>
      </c>
      <c r="BW7" s="4">
        <f t="shared" si="11"/>
        <v>1480.7688000000001</v>
      </c>
      <c r="BX7" s="4">
        <f t="shared" si="7"/>
        <v>22634.608799999998</v>
      </c>
      <c r="BY7" s="25">
        <f t="shared" si="8"/>
        <v>6903.8012000000017</v>
      </c>
      <c r="CA7" s="86">
        <f t="shared" si="9"/>
        <v>54999.983999999997</v>
      </c>
    </row>
    <row r="8" spans="1:80" x14ac:dyDescent="0.25">
      <c r="A8" s="71">
        <f t="shared" si="10"/>
        <v>5</v>
      </c>
      <c r="B8" s="12" t="s">
        <v>26</v>
      </c>
      <c r="C8" s="48"/>
      <c r="D8" s="48"/>
      <c r="E8" s="48"/>
      <c r="F8" s="48">
        <v>2240.39</v>
      </c>
      <c r="G8" s="48"/>
      <c r="H8" s="48"/>
      <c r="I8" s="48"/>
      <c r="J8" s="48">
        <v>8644.19</v>
      </c>
      <c r="K8" s="48"/>
      <c r="L8" s="48">
        <v>11000</v>
      </c>
      <c r="M8" s="48"/>
      <c r="N8" s="48">
        <v>397.92</v>
      </c>
      <c r="O8" s="48">
        <v>1685.37</v>
      </c>
      <c r="P8" s="48"/>
      <c r="Q8" s="37">
        <f t="shared" si="2"/>
        <v>23967.87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7">
        <f t="shared" si="3"/>
        <v>0</v>
      </c>
      <c r="AH8" s="3">
        <v>0</v>
      </c>
      <c r="AI8" s="3">
        <v>0</v>
      </c>
      <c r="AJ8" s="3"/>
      <c r="AK8" s="62"/>
      <c r="AL8" s="3"/>
      <c r="AM8" s="3"/>
      <c r="AN8" s="3"/>
      <c r="AO8" s="3"/>
      <c r="AP8" s="35">
        <f t="shared" si="4"/>
        <v>0</v>
      </c>
      <c r="AQ8" s="3"/>
      <c r="AR8" s="3"/>
      <c r="AS8" s="3"/>
      <c r="AT8" s="3"/>
      <c r="AU8" s="3"/>
      <c r="AV8" s="3"/>
      <c r="AW8" s="3"/>
      <c r="AX8" s="3"/>
      <c r="AY8" s="3"/>
      <c r="AZ8" s="35">
        <f t="shared" si="0"/>
        <v>0</v>
      </c>
      <c r="BA8" s="35"/>
      <c r="BB8" s="35"/>
      <c r="BC8" s="35"/>
      <c r="BD8" s="35"/>
      <c r="BE8" s="76"/>
      <c r="BF8" s="76"/>
      <c r="BG8" s="76"/>
      <c r="BH8" s="76"/>
      <c r="BI8" s="76"/>
      <c r="BJ8" s="35"/>
      <c r="BK8" s="19">
        <f t="shared" si="5"/>
        <v>23967.87</v>
      </c>
      <c r="BL8" s="32">
        <v>24.038499999999999</v>
      </c>
      <c r="BM8" s="3">
        <f>+$BL$8*BM2</f>
        <v>1923.08</v>
      </c>
      <c r="BN8" s="3">
        <f t="shared" ref="BN8:BW8" si="12">+$BL$8*BN2</f>
        <v>1923.08</v>
      </c>
      <c r="BO8" s="3">
        <f t="shared" si="12"/>
        <v>1923.08</v>
      </c>
      <c r="BP8" s="3">
        <f t="shared" si="12"/>
        <v>1923.08</v>
      </c>
      <c r="BQ8" s="3">
        <f t="shared" si="12"/>
        <v>1923.08</v>
      </c>
      <c r="BR8" s="3">
        <f t="shared" si="12"/>
        <v>1923.08</v>
      </c>
      <c r="BS8" s="3">
        <f t="shared" si="12"/>
        <v>1923.08</v>
      </c>
      <c r="BT8" s="3">
        <f t="shared" si="12"/>
        <v>1923.08</v>
      </c>
      <c r="BU8" s="3">
        <f t="shared" si="12"/>
        <v>1923.08</v>
      </c>
      <c r="BV8" s="3">
        <f t="shared" si="12"/>
        <v>1923.08</v>
      </c>
      <c r="BW8" s="3">
        <f t="shared" si="12"/>
        <v>1346.1559999999999</v>
      </c>
      <c r="BX8" s="4">
        <f t="shared" si="7"/>
        <v>20576.956000000002</v>
      </c>
      <c r="BY8" s="27">
        <f t="shared" si="8"/>
        <v>3390.913999999997</v>
      </c>
      <c r="CA8" s="86">
        <f t="shared" si="9"/>
        <v>50000.08</v>
      </c>
    </row>
    <row r="9" spans="1:80" x14ac:dyDescent="0.25">
      <c r="A9" s="71">
        <f t="shared" si="10"/>
        <v>6</v>
      </c>
      <c r="B9" s="12" t="s">
        <v>23</v>
      </c>
      <c r="C9" s="48"/>
      <c r="D9" s="48"/>
      <c r="E9" s="48"/>
      <c r="F9" s="48"/>
      <c r="G9" s="56">
        <v>2463.21</v>
      </c>
      <c r="H9" s="48"/>
      <c r="I9" s="48"/>
      <c r="J9" s="48"/>
      <c r="K9" s="48"/>
      <c r="L9" s="48"/>
      <c r="M9" s="48"/>
      <c r="N9" s="48">
        <v>23766.74</v>
      </c>
      <c r="O9" s="48"/>
      <c r="P9" s="48"/>
      <c r="Q9" s="37">
        <f t="shared" si="2"/>
        <v>26229.95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7">
        <f t="shared" si="3"/>
        <v>0</v>
      </c>
      <c r="AH9" s="3">
        <v>0</v>
      </c>
      <c r="AI9" s="3">
        <v>0</v>
      </c>
      <c r="AJ9" s="3"/>
      <c r="AK9" s="62"/>
      <c r="AL9" s="3"/>
      <c r="AM9" s="3"/>
      <c r="AN9" s="3"/>
      <c r="AO9" s="3"/>
      <c r="AP9" s="35">
        <f t="shared" si="4"/>
        <v>0</v>
      </c>
      <c r="AQ9" s="3"/>
      <c r="AR9" s="3"/>
      <c r="AS9" s="3"/>
      <c r="AT9" s="3"/>
      <c r="AU9" s="3"/>
      <c r="AV9" s="3"/>
      <c r="AW9" s="3"/>
      <c r="AX9" s="3"/>
      <c r="AY9" s="3"/>
      <c r="AZ9" s="35">
        <f t="shared" si="0"/>
        <v>0</v>
      </c>
      <c r="BA9" s="35"/>
      <c r="BB9" s="35"/>
      <c r="BC9" s="35"/>
      <c r="BD9" s="35"/>
      <c r="BE9" s="76"/>
      <c r="BF9" s="76"/>
      <c r="BG9" s="76"/>
      <c r="BH9" s="76"/>
      <c r="BI9" s="76"/>
      <c r="BJ9" s="35"/>
      <c r="BK9" s="19">
        <f t="shared" si="5"/>
        <v>26229.95</v>
      </c>
      <c r="BL9" s="17">
        <v>25.600999999999999</v>
      </c>
      <c r="BM9" s="3">
        <f>$BL$9*BM2</f>
        <v>2048.08</v>
      </c>
      <c r="BN9" s="3">
        <f t="shared" ref="BN9:BW9" si="13">$BL$9*BN2</f>
        <v>2048.08</v>
      </c>
      <c r="BO9" s="3">
        <f t="shared" si="13"/>
        <v>2048.08</v>
      </c>
      <c r="BP9" s="3">
        <f t="shared" si="13"/>
        <v>2048.08</v>
      </c>
      <c r="BQ9" s="3">
        <f t="shared" si="13"/>
        <v>2048.08</v>
      </c>
      <c r="BR9" s="3">
        <f t="shared" si="13"/>
        <v>2048.08</v>
      </c>
      <c r="BS9" s="3">
        <f t="shared" si="13"/>
        <v>2048.08</v>
      </c>
      <c r="BT9" s="3">
        <f t="shared" si="13"/>
        <v>2048.08</v>
      </c>
      <c r="BU9" s="3">
        <f t="shared" si="13"/>
        <v>2048.08</v>
      </c>
      <c r="BV9" s="3">
        <f t="shared" si="13"/>
        <v>2048.08</v>
      </c>
      <c r="BW9" s="3">
        <f t="shared" si="13"/>
        <v>1433.6559999999999</v>
      </c>
      <c r="BX9" s="4">
        <f t="shared" si="7"/>
        <v>21914.456000000002</v>
      </c>
      <c r="BY9" s="25">
        <f t="shared" si="8"/>
        <v>4315.4939999999988</v>
      </c>
      <c r="CA9" s="86">
        <f t="shared" si="9"/>
        <v>53250.080000000002</v>
      </c>
    </row>
    <row r="10" spans="1:80" x14ac:dyDescent="0.25">
      <c r="A10" s="71">
        <f t="shared" si="10"/>
        <v>7</v>
      </c>
      <c r="B10" s="11" t="s">
        <v>18</v>
      </c>
      <c r="C10" s="49"/>
      <c r="D10" s="49"/>
      <c r="E10" s="49"/>
      <c r="F10" s="49"/>
      <c r="G10" s="49"/>
      <c r="H10" s="49">
        <v>10115.379999999999</v>
      </c>
      <c r="I10" s="49"/>
      <c r="J10" s="49">
        <v>375.5</v>
      </c>
      <c r="K10" s="49"/>
      <c r="L10" s="49">
        <v>2405.77</v>
      </c>
      <c r="M10" s="49"/>
      <c r="N10" s="49"/>
      <c r="O10" s="49">
        <v>140.19</v>
      </c>
      <c r="P10" s="49">
        <v>9000</v>
      </c>
      <c r="Q10" s="37">
        <f t="shared" si="2"/>
        <v>22036.84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>
        <v>93.46</v>
      </c>
      <c r="AD10" s="34"/>
      <c r="AE10" s="34"/>
      <c r="AF10" s="34"/>
      <c r="AG10" s="37">
        <f t="shared" si="3"/>
        <v>93.46</v>
      </c>
      <c r="AH10" s="3">
        <v>0</v>
      </c>
      <c r="AI10" s="3">
        <v>0</v>
      </c>
      <c r="AJ10" s="3"/>
      <c r="AK10" s="62"/>
      <c r="AL10" s="3"/>
      <c r="AM10" s="3"/>
      <c r="AN10" s="3"/>
      <c r="AO10" s="3"/>
      <c r="AP10" s="35">
        <f t="shared" si="4"/>
        <v>0</v>
      </c>
      <c r="AQ10" s="3"/>
      <c r="AR10" s="3"/>
      <c r="AS10" s="3"/>
      <c r="AT10" s="3"/>
      <c r="AU10" s="3"/>
      <c r="AV10" s="3"/>
      <c r="AW10" s="3"/>
      <c r="AX10" s="3"/>
      <c r="AY10" s="3"/>
      <c r="AZ10" s="35">
        <f t="shared" si="0"/>
        <v>0</v>
      </c>
      <c r="BA10" s="35">
        <v>2000</v>
      </c>
      <c r="BB10" s="35"/>
      <c r="BC10" s="35">
        <v>1923.08</v>
      </c>
      <c r="BD10" s="35"/>
      <c r="BE10" s="76"/>
      <c r="BF10" s="76"/>
      <c r="BG10" s="76"/>
      <c r="BH10" s="76"/>
      <c r="BI10" s="76"/>
      <c r="BJ10" s="35"/>
      <c r="BK10" s="19">
        <f t="shared" si="5"/>
        <v>26053.379999999997</v>
      </c>
      <c r="BL10" s="17">
        <v>24.038499999999999</v>
      </c>
      <c r="BM10" s="3">
        <f>+$BL$10*BM2</f>
        <v>1923.08</v>
      </c>
      <c r="BN10" s="3">
        <f t="shared" ref="BN10:BW10" si="14">+$BL$10*BN2</f>
        <v>1923.08</v>
      </c>
      <c r="BO10" s="3">
        <f t="shared" si="14"/>
        <v>1923.08</v>
      </c>
      <c r="BP10" s="3">
        <f t="shared" si="14"/>
        <v>1923.08</v>
      </c>
      <c r="BQ10" s="3">
        <f t="shared" si="14"/>
        <v>1923.08</v>
      </c>
      <c r="BR10" s="3">
        <f t="shared" si="14"/>
        <v>1923.08</v>
      </c>
      <c r="BS10" s="3">
        <f t="shared" si="14"/>
        <v>1923.08</v>
      </c>
      <c r="BT10" s="3">
        <f t="shared" si="14"/>
        <v>1923.08</v>
      </c>
      <c r="BU10" s="3">
        <f t="shared" si="14"/>
        <v>1923.08</v>
      </c>
      <c r="BV10" s="3">
        <f t="shared" si="14"/>
        <v>1923.08</v>
      </c>
      <c r="BW10" s="3">
        <f t="shared" si="14"/>
        <v>1346.1559999999999</v>
      </c>
      <c r="BX10" s="4">
        <f t="shared" si="7"/>
        <v>20576.956000000002</v>
      </c>
      <c r="BY10" s="27">
        <f t="shared" si="8"/>
        <v>5476.4239999999954</v>
      </c>
      <c r="CA10" s="86">
        <f t="shared" si="9"/>
        <v>50000.08</v>
      </c>
    </row>
    <row r="11" spans="1:80" ht="15" customHeight="1" x14ac:dyDescent="0.25">
      <c r="A11" s="71">
        <f t="shared" si="10"/>
        <v>8</v>
      </c>
      <c r="B11" s="67" t="s">
        <v>100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37">
        <f t="shared" si="2"/>
        <v>0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7">
        <f t="shared" si="3"/>
        <v>0</v>
      </c>
      <c r="AH11" s="4"/>
      <c r="AI11" s="4"/>
      <c r="AJ11" s="4"/>
      <c r="AK11" s="63">
        <v>33615.339999999997</v>
      </c>
      <c r="AL11" s="4"/>
      <c r="AM11" s="4"/>
      <c r="AN11" s="4"/>
      <c r="AO11" s="4"/>
      <c r="AP11" s="35">
        <f t="shared" si="4"/>
        <v>33615.339999999997</v>
      </c>
      <c r="AQ11" s="3"/>
      <c r="AR11" s="3"/>
      <c r="AS11" s="3"/>
      <c r="AT11" s="3"/>
      <c r="AU11" s="3"/>
      <c r="AV11" s="3"/>
      <c r="AW11" s="3"/>
      <c r="AX11" s="3"/>
      <c r="AY11" s="3"/>
      <c r="AZ11" s="35">
        <f>SUM(AQ11:AY11)</f>
        <v>0</v>
      </c>
      <c r="BA11" s="35"/>
      <c r="BB11" s="35"/>
      <c r="BC11" s="35"/>
      <c r="BD11" s="35"/>
      <c r="BE11" s="75"/>
      <c r="BF11" s="75"/>
      <c r="BG11" s="75"/>
      <c r="BH11" s="75"/>
      <c r="BI11" s="75"/>
      <c r="BJ11" s="37"/>
      <c r="BK11" s="19">
        <f t="shared" si="5"/>
        <v>33615.339999999997</v>
      </c>
      <c r="BL11" s="17">
        <v>24.038499999999999</v>
      </c>
      <c r="BM11" s="3">
        <v>0</v>
      </c>
      <c r="BN11" s="3">
        <v>0</v>
      </c>
      <c r="BO11" s="3">
        <f t="shared" ref="BO11:BW11" si="15">+$BL$11*BO2</f>
        <v>1923.08</v>
      </c>
      <c r="BP11" s="3">
        <f t="shared" si="15"/>
        <v>1923.08</v>
      </c>
      <c r="BQ11" s="3">
        <f t="shared" si="15"/>
        <v>1923.08</v>
      </c>
      <c r="BR11" s="3">
        <f t="shared" si="15"/>
        <v>1923.08</v>
      </c>
      <c r="BS11" s="3">
        <f t="shared" si="15"/>
        <v>1923.08</v>
      </c>
      <c r="BT11" s="3">
        <f t="shared" si="15"/>
        <v>1923.08</v>
      </c>
      <c r="BU11" s="3">
        <f t="shared" si="15"/>
        <v>1923.08</v>
      </c>
      <c r="BV11" s="3">
        <f t="shared" si="15"/>
        <v>1923.08</v>
      </c>
      <c r="BW11" s="3">
        <f t="shared" si="15"/>
        <v>1346.1559999999999</v>
      </c>
      <c r="BX11" s="4">
        <f t="shared" si="7"/>
        <v>16730.795999999998</v>
      </c>
      <c r="BY11" s="25">
        <f t="shared" si="8"/>
        <v>16884.543999999998</v>
      </c>
      <c r="CA11" s="86">
        <f t="shared" si="9"/>
        <v>50000.08</v>
      </c>
    </row>
    <row r="12" spans="1:80" x14ac:dyDescent="0.25">
      <c r="A12" s="71">
        <f t="shared" si="10"/>
        <v>9</v>
      </c>
      <c r="B12" s="12" t="s">
        <v>38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37">
        <f t="shared" si="2"/>
        <v>0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7">
        <f t="shared" si="3"/>
        <v>0</v>
      </c>
      <c r="AH12" s="4"/>
      <c r="AI12" s="4"/>
      <c r="AJ12" s="4"/>
      <c r="AK12" s="63">
        <v>20162.55</v>
      </c>
      <c r="AL12" s="61">
        <v>731</v>
      </c>
      <c r="AM12" s="4"/>
      <c r="AN12" s="4"/>
      <c r="AO12" s="4"/>
      <c r="AP12" s="35">
        <f t="shared" si="4"/>
        <v>20893.55</v>
      </c>
      <c r="AQ12" s="3"/>
      <c r="AR12" s="3"/>
      <c r="AS12" s="3"/>
      <c r="AT12" s="3"/>
      <c r="AU12" s="3"/>
      <c r="AV12" s="3"/>
      <c r="AW12" s="3"/>
      <c r="AX12" s="3"/>
      <c r="AY12" s="3"/>
      <c r="AZ12" s="35">
        <f>SUM(AQ12:AY12)</f>
        <v>0</v>
      </c>
      <c r="BA12" s="35">
        <v>8653.14</v>
      </c>
      <c r="BB12" s="35">
        <v>499.22</v>
      </c>
      <c r="BC12" s="35"/>
      <c r="BD12" s="35"/>
      <c r="BE12" s="75"/>
      <c r="BF12" s="75"/>
      <c r="BG12" s="75"/>
      <c r="BH12" s="75"/>
      <c r="BI12" s="75"/>
      <c r="BJ12" s="37"/>
      <c r="BK12" s="19">
        <f t="shared" si="5"/>
        <v>30045.91</v>
      </c>
      <c r="BL12" s="17">
        <v>33.281300000000002</v>
      </c>
      <c r="BM12" s="3">
        <f>+$BL$12*BM2</f>
        <v>2662.5039999999999</v>
      </c>
      <c r="BN12" s="3">
        <f t="shared" ref="BN12:BW12" si="16">+$BL$12*BN2</f>
        <v>2662.5039999999999</v>
      </c>
      <c r="BO12" s="3">
        <f t="shared" si="16"/>
        <v>2662.5039999999999</v>
      </c>
      <c r="BP12" s="3">
        <f t="shared" si="16"/>
        <v>2662.5039999999999</v>
      </c>
      <c r="BQ12" s="3">
        <f t="shared" si="16"/>
        <v>2662.5039999999999</v>
      </c>
      <c r="BR12" s="3">
        <f t="shared" si="16"/>
        <v>2662.5039999999999</v>
      </c>
      <c r="BS12" s="3">
        <f t="shared" si="16"/>
        <v>2662.5039999999999</v>
      </c>
      <c r="BT12" s="3">
        <f t="shared" si="16"/>
        <v>2662.5039999999999</v>
      </c>
      <c r="BU12" s="3">
        <f t="shared" si="16"/>
        <v>2662.5039999999999</v>
      </c>
      <c r="BV12" s="3">
        <f t="shared" si="16"/>
        <v>2662.5039999999999</v>
      </c>
      <c r="BW12" s="3">
        <f t="shared" si="16"/>
        <v>1863.7528000000002</v>
      </c>
      <c r="BX12" s="4">
        <f t="shared" si="7"/>
        <v>28488.792800000003</v>
      </c>
      <c r="BY12" s="27">
        <f t="shared" si="8"/>
        <v>1557.117199999997</v>
      </c>
      <c r="CA12" s="86">
        <f t="shared" si="9"/>
        <v>69225.104000000007</v>
      </c>
    </row>
    <row r="13" spans="1:80" ht="14.25" customHeight="1" x14ac:dyDescent="0.25">
      <c r="A13" s="71">
        <f t="shared" si="10"/>
        <v>10</v>
      </c>
      <c r="B13" s="11" t="s">
        <v>15</v>
      </c>
      <c r="C13" s="49"/>
      <c r="D13" s="49"/>
      <c r="E13" s="49"/>
      <c r="F13" s="49">
        <v>7190.38</v>
      </c>
      <c r="G13" s="49"/>
      <c r="H13" s="49"/>
      <c r="I13" s="49">
        <v>53.45</v>
      </c>
      <c r="J13" s="49"/>
      <c r="K13" s="49"/>
      <c r="L13" s="49">
        <v>1000</v>
      </c>
      <c r="M13" s="49">
        <v>2199</v>
      </c>
      <c r="N13" s="49"/>
      <c r="O13" s="49"/>
      <c r="P13" s="49"/>
      <c r="Q13" s="37">
        <f t="shared" si="2"/>
        <v>10442.83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7">
        <f t="shared" si="3"/>
        <v>0</v>
      </c>
      <c r="AH13" s="3">
        <v>0</v>
      </c>
      <c r="AI13" s="3">
        <v>0</v>
      </c>
      <c r="AJ13" s="3"/>
      <c r="AK13" s="62"/>
      <c r="AL13" s="62"/>
      <c r="AM13" s="3"/>
      <c r="AN13" s="3"/>
      <c r="AO13" s="3"/>
      <c r="AP13" s="35">
        <f t="shared" si="4"/>
        <v>0</v>
      </c>
      <c r="AQ13" s="3">
        <v>156.31</v>
      </c>
      <c r="AR13" s="3"/>
      <c r="AS13" s="3"/>
      <c r="AT13" s="3"/>
      <c r="AU13" s="3"/>
      <c r="AV13" s="3">
        <v>23586.880000000001</v>
      </c>
      <c r="AW13" s="3"/>
      <c r="AX13" s="3"/>
      <c r="AY13" s="3"/>
      <c r="AZ13" s="35">
        <f>SUM(AQ13:AY13)</f>
        <v>23743.190000000002</v>
      </c>
      <c r="BA13" s="35"/>
      <c r="BB13" s="35"/>
      <c r="BC13" s="35"/>
      <c r="BD13" s="35"/>
      <c r="BE13" s="76"/>
      <c r="BF13" s="76"/>
      <c r="BG13" s="76"/>
      <c r="BH13" s="76"/>
      <c r="BI13" s="76"/>
      <c r="BJ13" s="35"/>
      <c r="BK13" s="19">
        <f t="shared" si="5"/>
        <v>34186.020000000004</v>
      </c>
      <c r="BL13" s="17">
        <v>32.692300000000003</v>
      </c>
      <c r="BM13" s="3">
        <f>+$BL$13*BM2</f>
        <v>2615.384</v>
      </c>
      <c r="BN13" s="3">
        <f t="shared" ref="BN13:BW13" si="17">+$BL$13*BN2</f>
        <v>2615.384</v>
      </c>
      <c r="BO13" s="3">
        <f t="shared" si="17"/>
        <v>2615.384</v>
      </c>
      <c r="BP13" s="3">
        <f t="shared" si="17"/>
        <v>2615.384</v>
      </c>
      <c r="BQ13" s="3">
        <f t="shared" si="17"/>
        <v>2615.384</v>
      </c>
      <c r="BR13" s="3">
        <f t="shared" si="17"/>
        <v>2615.384</v>
      </c>
      <c r="BS13" s="3">
        <f t="shared" si="17"/>
        <v>2615.384</v>
      </c>
      <c r="BT13" s="3">
        <f t="shared" si="17"/>
        <v>2615.384</v>
      </c>
      <c r="BU13" s="3">
        <f t="shared" si="17"/>
        <v>2615.384</v>
      </c>
      <c r="BV13" s="3">
        <f t="shared" si="17"/>
        <v>2615.384</v>
      </c>
      <c r="BW13" s="3">
        <f t="shared" si="17"/>
        <v>1830.7688000000003</v>
      </c>
      <c r="BX13" s="4">
        <f t="shared" si="7"/>
        <v>27984.608799999998</v>
      </c>
      <c r="BY13" s="25">
        <f t="shared" si="8"/>
        <v>6201.4112000000059</v>
      </c>
      <c r="CA13" s="86">
        <f t="shared" si="9"/>
        <v>67999.984000000011</v>
      </c>
    </row>
    <row r="14" spans="1:80" ht="16.5" customHeight="1" x14ac:dyDescent="0.25">
      <c r="A14" s="71">
        <f t="shared" si="10"/>
        <v>11</v>
      </c>
      <c r="B14" s="12" t="s">
        <v>51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37">
        <f t="shared" si="2"/>
        <v>0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7">
        <f t="shared" si="3"/>
        <v>0</v>
      </c>
      <c r="AH14" s="4"/>
      <c r="AI14" s="4"/>
      <c r="AJ14" s="4"/>
      <c r="AK14" s="63"/>
      <c r="AL14" s="61"/>
      <c r="AM14" s="4"/>
      <c r="AN14" s="4"/>
      <c r="AO14" s="4"/>
      <c r="AP14" s="35">
        <f t="shared" si="4"/>
        <v>0</v>
      </c>
      <c r="AQ14" s="4"/>
      <c r="AR14" s="4"/>
      <c r="AS14" s="4"/>
      <c r="AT14" s="4"/>
      <c r="AU14" s="4"/>
      <c r="AV14" s="4"/>
      <c r="AW14" s="4"/>
      <c r="AX14" s="4"/>
      <c r="AY14" s="4"/>
      <c r="AZ14" s="35">
        <f t="shared" ref="AZ14:AZ83" si="18">SUM(AQ14:AY14)</f>
        <v>0</v>
      </c>
      <c r="BA14" s="35"/>
      <c r="BB14" s="35"/>
      <c r="BC14" s="35"/>
      <c r="BD14" s="35"/>
      <c r="BE14" s="75"/>
      <c r="BF14" s="75"/>
      <c r="BG14" s="75"/>
      <c r="BH14" s="75">
        <f>39347.44-40.09-6000</f>
        <v>33307.350000000006</v>
      </c>
      <c r="BI14" s="75"/>
      <c r="BJ14" s="37"/>
      <c r="BK14" s="19">
        <f t="shared" si="5"/>
        <v>33307.350000000006</v>
      </c>
      <c r="BL14" s="16">
        <v>32.706400000000002</v>
      </c>
      <c r="BM14" s="4">
        <f>+$BL$14*BM2</f>
        <v>2616.5120000000002</v>
      </c>
      <c r="BN14" s="4">
        <f t="shared" ref="BN14:BW14" si="19">+$BL$14*BN2</f>
        <v>2616.5120000000002</v>
      </c>
      <c r="BO14" s="4">
        <f t="shared" si="19"/>
        <v>2616.5120000000002</v>
      </c>
      <c r="BP14" s="4">
        <f t="shared" si="19"/>
        <v>2616.5120000000002</v>
      </c>
      <c r="BQ14" s="4">
        <f t="shared" si="19"/>
        <v>2616.5120000000002</v>
      </c>
      <c r="BR14" s="4">
        <f t="shared" si="19"/>
        <v>2616.5120000000002</v>
      </c>
      <c r="BS14" s="4">
        <f t="shared" si="19"/>
        <v>2616.5120000000002</v>
      </c>
      <c r="BT14" s="4">
        <f t="shared" si="19"/>
        <v>2616.5120000000002</v>
      </c>
      <c r="BU14" s="4">
        <f t="shared" si="19"/>
        <v>2616.5120000000002</v>
      </c>
      <c r="BV14" s="4">
        <f t="shared" si="19"/>
        <v>2616.5120000000002</v>
      </c>
      <c r="BW14" s="4">
        <f t="shared" si="19"/>
        <v>1831.5584000000001</v>
      </c>
      <c r="BX14" s="4">
        <f t="shared" si="7"/>
        <v>27996.678400000001</v>
      </c>
      <c r="BY14" s="25">
        <f t="shared" si="8"/>
        <v>5310.6716000000051</v>
      </c>
      <c r="CA14" s="86">
        <f t="shared" si="9"/>
        <v>68029.312000000005</v>
      </c>
    </row>
    <row r="15" spans="1:80" ht="15.75" customHeight="1" x14ac:dyDescent="0.25">
      <c r="A15" s="71">
        <f t="shared" si="10"/>
        <v>12</v>
      </c>
      <c r="B15" s="12" t="s">
        <v>57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37">
        <f t="shared" si="2"/>
        <v>0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7">
        <f t="shared" si="3"/>
        <v>0</v>
      </c>
      <c r="AH15" s="4"/>
      <c r="AI15" s="4"/>
      <c r="AJ15" s="4"/>
      <c r="AK15" s="63"/>
      <c r="AL15" s="61"/>
      <c r="AM15" s="4"/>
      <c r="AN15" s="4"/>
      <c r="AO15" s="4"/>
      <c r="AP15" s="35">
        <f t="shared" si="4"/>
        <v>0</v>
      </c>
      <c r="AQ15" s="4"/>
      <c r="AR15" s="4"/>
      <c r="AS15" s="4"/>
      <c r="AT15" s="4">
        <v>29843.759999999998</v>
      </c>
      <c r="AU15" s="4"/>
      <c r="AV15" s="4"/>
      <c r="AW15" s="4"/>
      <c r="AX15" s="4"/>
      <c r="AY15" s="4"/>
      <c r="AZ15" s="35">
        <f t="shared" si="18"/>
        <v>29843.759999999998</v>
      </c>
      <c r="BA15" s="35"/>
      <c r="BB15" s="35"/>
      <c r="BC15" s="35"/>
      <c r="BD15" s="35"/>
      <c r="BE15" s="75"/>
      <c r="BF15" s="75"/>
      <c r="BG15" s="75"/>
      <c r="BH15" s="75"/>
      <c r="BI15" s="75"/>
      <c r="BJ15" s="37"/>
      <c r="BK15" s="19">
        <f t="shared" si="5"/>
        <v>29843.759999999998</v>
      </c>
      <c r="BL15" s="16">
        <v>27.777100000000001</v>
      </c>
      <c r="BM15" s="4">
        <f>+$BL$15*BM2</f>
        <v>2222.1680000000001</v>
      </c>
      <c r="BN15" s="4">
        <f t="shared" ref="BN15:BW15" si="20">+$BL$15*BN2</f>
        <v>2222.1680000000001</v>
      </c>
      <c r="BO15" s="4">
        <f t="shared" si="20"/>
        <v>2222.1680000000001</v>
      </c>
      <c r="BP15" s="4">
        <f t="shared" si="20"/>
        <v>2222.1680000000001</v>
      </c>
      <c r="BQ15" s="4">
        <f t="shared" si="20"/>
        <v>2222.1680000000001</v>
      </c>
      <c r="BR15" s="4">
        <f t="shared" si="20"/>
        <v>2222.1680000000001</v>
      </c>
      <c r="BS15" s="4">
        <f t="shared" si="20"/>
        <v>2222.1680000000001</v>
      </c>
      <c r="BT15" s="4">
        <f t="shared" si="20"/>
        <v>2222.1680000000001</v>
      </c>
      <c r="BU15" s="4">
        <f t="shared" si="20"/>
        <v>2222.1680000000001</v>
      </c>
      <c r="BV15" s="4">
        <f t="shared" si="20"/>
        <v>2222.1680000000001</v>
      </c>
      <c r="BW15" s="4">
        <f t="shared" si="20"/>
        <v>1555.5176000000001</v>
      </c>
      <c r="BX15" s="4">
        <f t="shared" si="7"/>
        <v>23777.197600000003</v>
      </c>
      <c r="BY15" s="25">
        <f t="shared" si="8"/>
        <v>6066.5623999999953</v>
      </c>
      <c r="CA15" s="86">
        <f t="shared" si="9"/>
        <v>57776.368000000002</v>
      </c>
      <c r="CB15">
        <f>+BL15*2080</f>
        <v>57776.368000000002</v>
      </c>
    </row>
    <row r="16" spans="1:80" x14ac:dyDescent="0.25">
      <c r="A16" s="71">
        <f t="shared" si="10"/>
        <v>13</v>
      </c>
      <c r="B16" s="10" t="s">
        <v>13</v>
      </c>
      <c r="C16" s="50"/>
      <c r="D16" s="50">
        <v>731.25</v>
      </c>
      <c r="E16" s="50"/>
      <c r="F16" s="50"/>
      <c r="G16" s="50"/>
      <c r="H16" s="50">
        <v>5281.25</v>
      </c>
      <c r="I16" s="50">
        <v>1635.64</v>
      </c>
      <c r="J16" s="50">
        <v>966.58</v>
      </c>
      <c r="K16" s="50"/>
      <c r="L16" s="50"/>
      <c r="M16" s="50">
        <v>2112.5</v>
      </c>
      <c r="N16" s="50">
        <v>925</v>
      </c>
      <c r="O16" s="50">
        <v>1400</v>
      </c>
      <c r="P16" s="50">
        <v>4052.39</v>
      </c>
      <c r="Q16" s="37">
        <f t="shared" si="2"/>
        <v>17104.61</v>
      </c>
      <c r="R16" s="34"/>
      <c r="S16" s="34"/>
      <c r="T16" s="34"/>
      <c r="U16" s="34"/>
      <c r="V16" s="34"/>
      <c r="W16" s="34"/>
      <c r="X16" s="34"/>
      <c r="Y16" s="34"/>
      <c r="Z16" s="34">
        <v>464.47</v>
      </c>
      <c r="AA16" s="34"/>
      <c r="AB16" s="34"/>
      <c r="AC16" s="34">
        <v>1400</v>
      </c>
      <c r="AD16" s="34">
        <v>2800</v>
      </c>
      <c r="AE16" s="34">
        <v>1400</v>
      </c>
      <c r="AF16" s="34"/>
      <c r="AG16" s="37">
        <f t="shared" si="3"/>
        <v>6064.47</v>
      </c>
      <c r="AH16" s="3">
        <v>0</v>
      </c>
      <c r="AI16" s="3">
        <v>0</v>
      </c>
      <c r="AJ16" s="3"/>
      <c r="AK16" s="62">
        <v>68.75</v>
      </c>
      <c r="AL16" s="62"/>
      <c r="AM16" s="3">
        <v>0</v>
      </c>
      <c r="AN16" s="3"/>
      <c r="AO16" s="3">
        <v>2127.87</v>
      </c>
      <c r="AP16" s="35">
        <f t="shared" si="4"/>
        <v>2196.62</v>
      </c>
      <c r="AQ16" s="3">
        <v>700</v>
      </c>
      <c r="AR16" s="3">
        <v>700</v>
      </c>
      <c r="AS16" s="3"/>
      <c r="AT16" s="3"/>
      <c r="AU16" s="3"/>
      <c r="AV16" s="3"/>
      <c r="AW16" s="3">
        <v>150</v>
      </c>
      <c r="AX16" s="3">
        <v>1725</v>
      </c>
      <c r="AY16" s="3">
        <v>1400</v>
      </c>
      <c r="AZ16" s="35">
        <f t="shared" si="18"/>
        <v>4675</v>
      </c>
      <c r="BA16" s="35">
        <v>3250</v>
      </c>
      <c r="BB16" s="35">
        <v>687.5</v>
      </c>
      <c r="BC16" s="35">
        <v>687.5</v>
      </c>
      <c r="BD16" s="73">
        <v>1625</v>
      </c>
      <c r="BE16" s="76"/>
      <c r="BF16" s="76"/>
      <c r="BG16" s="76"/>
      <c r="BH16" s="76"/>
      <c r="BI16" s="76">
        <v>2368.41</v>
      </c>
      <c r="BJ16" s="35"/>
      <c r="BK16" s="19">
        <f t="shared" si="5"/>
        <v>38659.11</v>
      </c>
      <c r="BL16" s="18">
        <v>31.25</v>
      </c>
      <c r="BM16" s="9">
        <f>+$BL$16*BM2</f>
        <v>2500</v>
      </c>
      <c r="BN16" s="9">
        <f t="shared" ref="BN16:BW16" si="21">+$BL$16*BN2</f>
        <v>2500</v>
      </c>
      <c r="BO16" s="9">
        <f t="shared" si="21"/>
        <v>2500</v>
      </c>
      <c r="BP16" s="9">
        <f t="shared" si="21"/>
        <v>2500</v>
      </c>
      <c r="BQ16" s="9">
        <f t="shared" si="21"/>
        <v>2500</v>
      </c>
      <c r="BR16" s="9">
        <f t="shared" si="21"/>
        <v>2500</v>
      </c>
      <c r="BS16" s="9">
        <f t="shared" si="21"/>
        <v>2500</v>
      </c>
      <c r="BT16" s="9">
        <f t="shared" si="21"/>
        <v>2500</v>
      </c>
      <c r="BU16" s="9">
        <f t="shared" si="21"/>
        <v>2500</v>
      </c>
      <c r="BV16" s="9">
        <f t="shared" si="21"/>
        <v>2500</v>
      </c>
      <c r="BW16" s="9">
        <f t="shared" si="21"/>
        <v>1750</v>
      </c>
      <c r="BX16" s="4">
        <f t="shared" si="7"/>
        <v>26750</v>
      </c>
      <c r="BY16" s="27">
        <f t="shared" si="8"/>
        <v>11909.11</v>
      </c>
      <c r="CA16" s="86">
        <f t="shared" si="9"/>
        <v>65000</v>
      </c>
    </row>
    <row r="17" spans="1:80" ht="16.5" customHeight="1" x14ac:dyDescent="0.25">
      <c r="A17" s="71">
        <f t="shared" si="10"/>
        <v>14</v>
      </c>
      <c r="B17" s="12" t="s">
        <v>30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37">
        <f t="shared" si="2"/>
        <v>0</v>
      </c>
      <c r="R17" s="34"/>
      <c r="S17" s="34"/>
      <c r="T17" s="34">
        <v>2345.89</v>
      </c>
      <c r="U17" s="34"/>
      <c r="V17" s="34">
        <v>646.04999999999995</v>
      </c>
      <c r="W17" s="34"/>
      <c r="X17" s="34"/>
      <c r="Y17" s="34">
        <v>486.11</v>
      </c>
      <c r="Z17" s="34"/>
      <c r="AA17" s="34"/>
      <c r="AB17" s="34">
        <v>9574.8799999999992</v>
      </c>
      <c r="AC17" s="34">
        <v>7793.73</v>
      </c>
      <c r="AD17" s="34"/>
      <c r="AE17" s="34"/>
      <c r="AF17" s="34"/>
      <c r="AG17" s="37">
        <f t="shared" si="3"/>
        <v>20846.659999999996</v>
      </c>
      <c r="AH17" s="61">
        <v>3643.12</v>
      </c>
      <c r="AI17" s="4">
        <v>668.02</v>
      </c>
      <c r="AJ17" s="63">
        <v>8300.9599999999991</v>
      </c>
      <c r="AK17" s="63"/>
      <c r="AL17" s="61"/>
      <c r="AM17" s="34"/>
      <c r="AN17" s="4"/>
      <c r="AO17" s="4"/>
      <c r="AP17" s="35">
        <f t="shared" si="4"/>
        <v>12612.099999999999</v>
      </c>
      <c r="AQ17" s="3"/>
      <c r="AR17" s="3"/>
      <c r="AS17" s="3"/>
      <c r="AT17" s="3"/>
      <c r="AU17" s="3"/>
      <c r="AV17" s="3"/>
      <c r="AW17" s="3"/>
      <c r="AX17" s="3"/>
      <c r="AY17" s="3"/>
      <c r="AZ17" s="35">
        <f t="shared" si="18"/>
        <v>0</v>
      </c>
      <c r="BA17" s="35"/>
      <c r="BB17" s="35"/>
      <c r="BC17" s="35"/>
      <c r="BD17" s="35"/>
      <c r="BE17" s="75"/>
      <c r="BF17" s="75"/>
      <c r="BG17" s="75"/>
      <c r="BH17" s="75"/>
      <c r="BI17" s="75"/>
      <c r="BJ17" s="37"/>
      <c r="BK17" s="19">
        <f t="shared" si="5"/>
        <v>33458.759999999995</v>
      </c>
      <c r="BL17" s="17">
        <v>32.692300000000003</v>
      </c>
      <c r="BM17" s="3">
        <f>+$BL$17*BM2</f>
        <v>2615.384</v>
      </c>
      <c r="BN17" s="3">
        <f t="shared" ref="BN17:BW17" si="22">+$BL$17*BN2</f>
        <v>2615.384</v>
      </c>
      <c r="BO17" s="3">
        <f t="shared" si="22"/>
        <v>2615.384</v>
      </c>
      <c r="BP17" s="3">
        <f t="shared" si="22"/>
        <v>2615.384</v>
      </c>
      <c r="BQ17" s="3">
        <f t="shared" si="22"/>
        <v>2615.384</v>
      </c>
      <c r="BR17" s="3">
        <f t="shared" si="22"/>
        <v>2615.384</v>
      </c>
      <c r="BS17" s="3">
        <f t="shared" si="22"/>
        <v>2615.384</v>
      </c>
      <c r="BT17" s="3">
        <f t="shared" si="22"/>
        <v>2615.384</v>
      </c>
      <c r="BU17" s="3">
        <f t="shared" si="22"/>
        <v>2615.384</v>
      </c>
      <c r="BV17" s="3">
        <f t="shared" si="22"/>
        <v>2615.384</v>
      </c>
      <c r="BW17" s="3">
        <f t="shared" si="22"/>
        <v>1830.7688000000003</v>
      </c>
      <c r="BX17" s="4">
        <f t="shared" si="7"/>
        <v>27984.608799999998</v>
      </c>
      <c r="BY17" s="27">
        <f t="shared" si="8"/>
        <v>5474.1511999999966</v>
      </c>
      <c r="CA17" s="86">
        <f t="shared" si="9"/>
        <v>67999.984000000011</v>
      </c>
      <c r="CB17" s="30" t="s">
        <v>12</v>
      </c>
    </row>
    <row r="18" spans="1:80" ht="16.5" customHeight="1" x14ac:dyDescent="0.25">
      <c r="A18" s="71">
        <f t="shared" si="10"/>
        <v>15</v>
      </c>
      <c r="B18" s="12" t="s">
        <v>44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37">
        <f t="shared" si="2"/>
        <v>0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7">
        <f t="shared" si="3"/>
        <v>0</v>
      </c>
      <c r="AH18" s="61"/>
      <c r="AI18" s="4"/>
      <c r="AJ18" s="63"/>
      <c r="AK18" s="63">
        <v>31625.119999999999</v>
      </c>
      <c r="AL18" s="61"/>
      <c r="AM18" s="34"/>
      <c r="AN18" s="4"/>
      <c r="AO18" s="4"/>
      <c r="AP18" s="35">
        <f t="shared" si="4"/>
        <v>31625.119999999999</v>
      </c>
      <c r="AQ18" s="3"/>
      <c r="AR18" s="3"/>
      <c r="AS18" s="3"/>
      <c r="AT18" s="3"/>
      <c r="AU18" s="3"/>
      <c r="AV18" s="3"/>
      <c r="AW18" s="3"/>
      <c r="AX18" s="3"/>
      <c r="AY18" s="3"/>
      <c r="AZ18" s="35">
        <f t="shared" si="18"/>
        <v>0</v>
      </c>
      <c r="BA18" s="35"/>
      <c r="BB18" s="35"/>
      <c r="BC18" s="35"/>
      <c r="BD18" s="35"/>
      <c r="BE18" s="75"/>
      <c r="BF18" s="75"/>
      <c r="BG18" s="75"/>
      <c r="BH18" s="75"/>
      <c r="BI18" s="75"/>
      <c r="BJ18" s="37"/>
      <c r="BK18" s="19">
        <f t="shared" si="5"/>
        <v>31625.119999999999</v>
      </c>
      <c r="BL18" s="17">
        <v>24.038499999999999</v>
      </c>
      <c r="BM18" s="3">
        <f>+$BL$18*BM2</f>
        <v>1923.08</v>
      </c>
      <c r="BN18" s="3">
        <f t="shared" ref="BN18:BW18" si="23">+$BL$18*BN2</f>
        <v>1923.08</v>
      </c>
      <c r="BO18" s="3">
        <f t="shared" si="23"/>
        <v>1923.08</v>
      </c>
      <c r="BP18" s="3">
        <f t="shared" si="23"/>
        <v>1923.08</v>
      </c>
      <c r="BQ18" s="3">
        <f t="shared" si="23"/>
        <v>1923.08</v>
      </c>
      <c r="BR18" s="3">
        <f t="shared" si="23"/>
        <v>1923.08</v>
      </c>
      <c r="BS18" s="3">
        <f t="shared" si="23"/>
        <v>1923.08</v>
      </c>
      <c r="BT18" s="3">
        <f t="shared" si="23"/>
        <v>1923.08</v>
      </c>
      <c r="BU18" s="3">
        <f t="shared" si="23"/>
        <v>1923.08</v>
      </c>
      <c r="BV18" s="3">
        <f t="shared" si="23"/>
        <v>1923.08</v>
      </c>
      <c r="BW18" s="3">
        <f t="shared" si="23"/>
        <v>1346.1559999999999</v>
      </c>
      <c r="BX18" s="4">
        <f t="shared" si="7"/>
        <v>20576.956000000002</v>
      </c>
      <c r="BY18" s="25">
        <f t="shared" si="8"/>
        <v>11048.163999999997</v>
      </c>
      <c r="CA18" s="86">
        <f t="shared" si="9"/>
        <v>50000.08</v>
      </c>
    </row>
    <row r="19" spans="1:80" ht="16.5" customHeight="1" x14ac:dyDescent="0.25">
      <c r="A19" s="71">
        <f t="shared" si="10"/>
        <v>16</v>
      </c>
      <c r="B19" s="13" t="s">
        <v>29</v>
      </c>
      <c r="C19" s="51"/>
      <c r="D19" s="51"/>
      <c r="E19" s="51"/>
      <c r="F19" s="51">
        <f>2948.9+562.5</f>
        <v>3511.4</v>
      </c>
      <c r="G19" s="51"/>
      <c r="H19" s="51">
        <v>1374.99</v>
      </c>
      <c r="I19" s="51"/>
      <c r="J19" s="51"/>
      <c r="K19" s="51"/>
      <c r="L19" s="51"/>
      <c r="M19" s="51"/>
      <c r="N19" s="51"/>
      <c r="O19" s="51"/>
      <c r="P19" s="51">
        <v>13000</v>
      </c>
      <c r="Q19" s="37">
        <f t="shared" si="2"/>
        <v>17886.39</v>
      </c>
      <c r="R19" s="34"/>
      <c r="S19" s="34"/>
      <c r="T19" s="34"/>
      <c r="U19" s="34"/>
      <c r="V19" s="34"/>
      <c r="W19" s="34"/>
      <c r="X19" s="34">
        <v>9906.25</v>
      </c>
      <c r="Y19" s="34"/>
      <c r="Z19" s="34"/>
      <c r="AA19" s="34"/>
      <c r="AB19" s="34"/>
      <c r="AC19" s="34"/>
      <c r="AD19" s="34"/>
      <c r="AE19" s="34"/>
      <c r="AF19" s="34"/>
      <c r="AG19" s="37">
        <f t="shared" si="3"/>
        <v>9906.25</v>
      </c>
      <c r="AH19" s="62">
        <v>0</v>
      </c>
      <c r="AI19" s="3">
        <v>0</v>
      </c>
      <c r="AJ19" s="62"/>
      <c r="AK19" s="62"/>
      <c r="AL19" s="62"/>
      <c r="AM19" s="3"/>
      <c r="AN19" s="3"/>
      <c r="AO19" s="3"/>
      <c r="AP19" s="35">
        <f t="shared" si="4"/>
        <v>0</v>
      </c>
      <c r="AQ19" s="3"/>
      <c r="AR19" s="3"/>
      <c r="AS19" s="3"/>
      <c r="AT19" s="3"/>
      <c r="AU19" s="3"/>
      <c r="AV19" s="3"/>
      <c r="AW19" s="3">
        <v>1587.5</v>
      </c>
      <c r="AX19" s="3">
        <v>1506.25</v>
      </c>
      <c r="AY19" s="3"/>
      <c r="AZ19" s="35">
        <f t="shared" si="18"/>
        <v>3093.75</v>
      </c>
      <c r="BA19" s="35">
        <v>3250</v>
      </c>
      <c r="BB19" s="35"/>
      <c r="BC19" s="35"/>
      <c r="BD19" s="35"/>
      <c r="BE19" s="76"/>
      <c r="BF19" s="76"/>
      <c r="BG19" s="76"/>
      <c r="BH19" s="76"/>
      <c r="BI19" s="76"/>
      <c r="BJ19" s="35"/>
      <c r="BK19" s="19">
        <f t="shared" si="5"/>
        <v>34136.39</v>
      </c>
      <c r="BL19" s="17">
        <v>31.25</v>
      </c>
      <c r="BM19" s="3">
        <f>+$BL$19*BM2</f>
        <v>2500</v>
      </c>
      <c r="BN19" s="3">
        <f t="shared" ref="BN19:BW19" si="24">+$BL$19*BN2</f>
        <v>2500</v>
      </c>
      <c r="BO19" s="3">
        <f t="shared" si="24"/>
        <v>2500</v>
      </c>
      <c r="BP19" s="3">
        <f t="shared" si="24"/>
        <v>2500</v>
      </c>
      <c r="BQ19" s="3">
        <f t="shared" si="24"/>
        <v>2500</v>
      </c>
      <c r="BR19" s="3">
        <f t="shared" si="24"/>
        <v>2500</v>
      </c>
      <c r="BS19" s="3">
        <f t="shared" si="24"/>
        <v>2500</v>
      </c>
      <c r="BT19" s="3">
        <f t="shared" si="24"/>
        <v>2500</v>
      </c>
      <c r="BU19" s="3">
        <f t="shared" si="24"/>
        <v>2500</v>
      </c>
      <c r="BV19" s="3">
        <f t="shared" si="24"/>
        <v>2500</v>
      </c>
      <c r="BW19" s="3">
        <f t="shared" si="24"/>
        <v>1750</v>
      </c>
      <c r="BX19" s="4">
        <f t="shared" si="7"/>
        <v>26750</v>
      </c>
      <c r="BY19" s="27">
        <f t="shared" si="8"/>
        <v>7386.3899999999994</v>
      </c>
      <c r="CA19" s="86">
        <f t="shared" si="9"/>
        <v>65000</v>
      </c>
    </row>
    <row r="20" spans="1:80" ht="16.5" customHeight="1" x14ac:dyDescent="0.25">
      <c r="A20" s="71">
        <v>17</v>
      </c>
      <c r="B20" s="68" t="s">
        <v>92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37">
        <f t="shared" si="2"/>
        <v>0</v>
      </c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7">
        <f t="shared" si="3"/>
        <v>0</v>
      </c>
      <c r="AH20" s="62"/>
      <c r="AI20" s="3"/>
      <c r="AJ20" s="62"/>
      <c r="AK20" s="62"/>
      <c r="AL20" s="62"/>
      <c r="AM20" s="3"/>
      <c r="AN20" s="3"/>
      <c r="AO20" s="3"/>
      <c r="AP20" s="35"/>
      <c r="AQ20" s="3"/>
      <c r="AR20" s="3"/>
      <c r="AS20" s="3"/>
      <c r="AT20" s="3"/>
      <c r="AU20" s="3"/>
      <c r="AV20" s="3"/>
      <c r="AW20" s="3"/>
      <c r="AX20" s="3"/>
      <c r="AY20" s="3"/>
      <c r="AZ20" s="35"/>
      <c r="BA20" s="35"/>
      <c r="BB20" s="35"/>
      <c r="BC20" s="35"/>
      <c r="BD20" s="80">
        <v>18750</v>
      </c>
      <c r="BE20" s="76"/>
      <c r="BF20" s="76"/>
      <c r="BG20" s="76"/>
      <c r="BH20" s="76"/>
      <c r="BI20" s="76"/>
      <c r="BJ20" s="35"/>
      <c r="BK20" s="42">
        <f>+Q20+AP20+AZ20+BE20+BH20+BI20+BJ20+BG20+AG20+BF20+BA20+BD20+BB20+BC20</f>
        <v>18750</v>
      </c>
      <c r="BL20" s="17">
        <f>55000/2080</f>
        <v>26.442307692307693</v>
      </c>
      <c r="BM20" s="59"/>
      <c r="BN20" s="59"/>
      <c r="BO20" s="59"/>
      <c r="BP20" s="59">
        <f>+BL20*BP2</f>
        <v>2115.3846153846152</v>
      </c>
      <c r="BQ20" s="59">
        <f t="shared" ref="BQ20:BV20" si="25">+BP20</f>
        <v>2115.3846153846152</v>
      </c>
      <c r="BR20" s="59">
        <f t="shared" si="25"/>
        <v>2115.3846153846152</v>
      </c>
      <c r="BS20" s="59">
        <f t="shared" si="25"/>
        <v>2115.3846153846152</v>
      </c>
      <c r="BT20" s="59">
        <f t="shared" si="25"/>
        <v>2115.3846153846152</v>
      </c>
      <c r="BU20" s="59">
        <f t="shared" si="25"/>
        <v>2115.3846153846152</v>
      </c>
      <c r="BV20" s="59">
        <f t="shared" si="25"/>
        <v>2115.3846153846152</v>
      </c>
      <c r="BW20" s="59">
        <f>+BL20*56</f>
        <v>1480.7692307692309</v>
      </c>
      <c r="BX20" s="60">
        <f>SUM(BM20:BW20)</f>
        <v>16288.461538461537</v>
      </c>
      <c r="BY20" s="28">
        <f>+BK20-BX20</f>
        <v>2461.5384615384628</v>
      </c>
      <c r="CA20" s="86">
        <f t="shared" si="9"/>
        <v>55000</v>
      </c>
    </row>
    <row r="21" spans="1:80" ht="16.5" customHeight="1" x14ac:dyDescent="0.25">
      <c r="A21" s="71">
        <v>18</v>
      </c>
      <c r="B21" s="12" t="s">
        <v>56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37">
        <f t="shared" si="2"/>
        <v>0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7">
        <f t="shared" si="3"/>
        <v>0</v>
      </c>
      <c r="AH21" s="61"/>
      <c r="AI21" s="4"/>
      <c r="AJ21" s="63"/>
      <c r="AK21" s="63"/>
      <c r="AL21" s="61"/>
      <c r="AM21" s="34"/>
      <c r="AN21" s="4"/>
      <c r="AO21" s="4"/>
      <c r="AP21" s="35">
        <f t="shared" si="4"/>
        <v>0</v>
      </c>
      <c r="AQ21" s="4"/>
      <c r="AR21" s="4"/>
      <c r="AS21" s="4"/>
      <c r="AT21" s="4">
        <v>26682.65</v>
      </c>
      <c r="AU21" s="4"/>
      <c r="AV21" s="4"/>
      <c r="AW21" s="4"/>
      <c r="AX21" s="4"/>
      <c r="AY21" s="4"/>
      <c r="AZ21" s="35">
        <f t="shared" si="18"/>
        <v>26682.65</v>
      </c>
      <c r="BA21" s="35"/>
      <c r="BB21" s="35"/>
      <c r="BC21" s="35"/>
      <c r="BD21" s="35">
        <v>0</v>
      </c>
      <c r="BE21" s="75"/>
      <c r="BF21" s="75"/>
      <c r="BG21" s="75"/>
      <c r="BH21" s="75"/>
      <c r="BI21" s="75"/>
      <c r="BJ21" s="37"/>
      <c r="BK21" s="19">
        <f t="shared" si="5"/>
        <v>26682.65</v>
      </c>
      <c r="BL21" s="16">
        <v>25.600999999999999</v>
      </c>
      <c r="BM21" s="4">
        <f>+$BL$21*BM2</f>
        <v>2048.08</v>
      </c>
      <c r="BN21" s="4">
        <f t="shared" ref="BN21:BW21" si="26">+$BL$21*BN2</f>
        <v>2048.08</v>
      </c>
      <c r="BO21" s="4">
        <f t="shared" si="26"/>
        <v>2048.08</v>
      </c>
      <c r="BP21" s="4">
        <f t="shared" si="26"/>
        <v>2048.08</v>
      </c>
      <c r="BQ21" s="4">
        <f t="shared" si="26"/>
        <v>2048.08</v>
      </c>
      <c r="BR21" s="4">
        <f t="shared" si="26"/>
        <v>2048.08</v>
      </c>
      <c r="BS21" s="4">
        <f t="shared" si="26"/>
        <v>2048.08</v>
      </c>
      <c r="BT21" s="4">
        <f t="shared" si="26"/>
        <v>2048.08</v>
      </c>
      <c r="BU21" s="4">
        <f t="shared" si="26"/>
        <v>2048.08</v>
      </c>
      <c r="BV21" s="4">
        <f t="shared" si="26"/>
        <v>2048.08</v>
      </c>
      <c r="BW21" s="4">
        <f t="shared" si="26"/>
        <v>1433.6559999999999</v>
      </c>
      <c r="BX21" s="4">
        <f t="shared" si="7"/>
        <v>21914.456000000002</v>
      </c>
      <c r="BY21" s="25">
        <f t="shared" si="8"/>
        <v>4768.1939999999995</v>
      </c>
      <c r="CA21" s="86">
        <f t="shared" si="9"/>
        <v>53250.080000000002</v>
      </c>
    </row>
    <row r="22" spans="1:80" ht="17.25" customHeight="1" x14ac:dyDescent="0.25">
      <c r="A22" s="71">
        <f t="shared" si="10"/>
        <v>19</v>
      </c>
      <c r="B22" s="12" t="s">
        <v>32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37">
        <f t="shared" si="2"/>
        <v>0</v>
      </c>
      <c r="R22" s="34">
        <v>26915.7</v>
      </c>
      <c r="S22" s="34"/>
      <c r="T22" s="34"/>
      <c r="U22" s="34"/>
      <c r="V22" s="34">
        <v>3416.98</v>
      </c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7">
        <f t="shared" si="3"/>
        <v>30332.68</v>
      </c>
      <c r="AH22" s="61"/>
      <c r="AI22" s="4"/>
      <c r="AJ22" s="63">
        <v>2984.13</v>
      </c>
      <c r="AK22" s="63"/>
      <c r="AL22" s="61"/>
      <c r="AM22" s="34"/>
      <c r="AN22" s="4"/>
      <c r="AO22" s="4"/>
      <c r="AP22" s="35">
        <f t="shared" si="4"/>
        <v>2984.13</v>
      </c>
      <c r="AQ22" s="3"/>
      <c r="AR22" s="3"/>
      <c r="AS22" s="3"/>
      <c r="AT22" s="3"/>
      <c r="AU22" s="3"/>
      <c r="AV22" s="3"/>
      <c r="AW22" s="3"/>
      <c r="AX22" s="3"/>
      <c r="AY22" s="3"/>
      <c r="AZ22" s="35">
        <f t="shared" si="18"/>
        <v>0</v>
      </c>
      <c r="BA22" s="35"/>
      <c r="BB22" s="35"/>
      <c r="BC22" s="35"/>
      <c r="BD22" s="35"/>
      <c r="BE22" s="75"/>
      <c r="BF22" s="75"/>
      <c r="BG22" s="75"/>
      <c r="BH22" s="75"/>
      <c r="BI22" s="75">
        <v>0</v>
      </c>
      <c r="BJ22" s="37">
        <v>0</v>
      </c>
      <c r="BK22" s="19">
        <f t="shared" si="5"/>
        <v>33316.81</v>
      </c>
      <c r="BL22" s="17">
        <v>30.5547</v>
      </c>
      <c r="BM22" s="3">
        <f>+$BL$22*BM2</f>
        <v>2444.3760000000002</v>
      </c>
      <c r="BN22" s="3">
        <f t="shared" ref="BN22:BW22" si="27">+$BL$22*BN2</f>
        <v>2444.3760000000002</v>
      </c>
      <c r="BO22" s="3">
        <f t="shared" si="27"/>
        <v>2444.3760000000002</v>
      </c>
      <c r="BP22" s="3">
        <f t="shared" si="27"/>
        <v>2444.3760000000002</v>
      </c>
      <c r="BQ22" s="3">
        <f t="shared" si="27"/>
        <v>2444.3760000000002</v>
      </c>
      <c r="BR22" s="3">
        <f t="shared" si="27"/>
        <v>2444.3760000000002</v>
      </c>
      <c r="BS22" s="3">
        <f t="shared" si="27"/>
        <v>2444.3760000000002</v>
      </c>
      <c r="BT22" s="3">
        <f t="shared" si="27"/>
        <v>2444.3760000000002</v>
      </c>
      <c r="BU22" s="3">
        <f t="shared" si="27"/>
        <v>2444.3760000000002</v>
      </c>
      <c r="BV22" s="3">
        <f t="shared" si="27"/>
        <v>2444.3760000000002</v>
      </c>
      <c r="BW22" s="3">
        <f t="shared" si="27"/>
        <v>1711.0632000000001</v>
      </c>
      <c r="BX22" s="4">
        <f t="shared" si="7"/>
        <v>26154.823200000003</v>
      </c>
      <c r="BY22" s="27">
        <f t="shared" si="8"/>
        <v>7161.9867999999951</v>
      </c>
      <c r="CA22" s="86">
        <f t="shared" si="9"/>
        <v>63553.775999999998</v>
      </c>
    </row>
    <row r="23" spans="1:80" ht="13.5" customHeight="1" x14ac:dyDescent="0.25">
      <c r="A23" s="71">
        <f t="shared" si="10"/>
        <v>20</v>
      </c>
      <c r="B23" s="12" t="s">
        <v>42</v>
      </c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37">
        <f t="shared" si="2"/>
        <v>0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7">
        <f t="shared" si="3"/>
        <v>0</v>
      </c>
      <c r="AH23" s="61"/>
      <c r="AI23" s="4"/>
      <c r="AJ23" s="63"/>
      <c r="AK23" s="63">
        <v>31849.97</v>
      </c>
      <c r="AL23" s="61"/>
      <c r="AM23" s="34"/>
      <c r="AN23" s="4"/>
      <c r="AO23" s="4"/>
      <c r="AP23" s="35">
        <f t="shared" si="4"/>
        <v>31849.97</v>
      </c>
      <c r="AQ23" s="3"/>
      <c r="AR23" s="3"/>
      <c r="AS23" s="3"/>
      <c r="AT23" s="3"/>
      <c r="AU23" s="3"/>
      <c r="AV23" s="3"/>
      <c r="AW23" s="3"/>
      <c r="AX23" s="3"/>
      <c r="AY23" s="3"/>
      <c r="AZ23" s="35">
        <f t="shared" si="18"/>
        <v>0</v>
      </c>
      <c r="BA23" s="35"/>
      <c r="BB23" s="35"/>
      <c r="BC23" s="35"/>
      <c r="BD23" s="35"/>
      <c r="BE23" s="75"/>
      <c r="BF23" s="75"/>
      <c r="BG23" s="75"/>
      <c r="BH23" s="75"/>
      <c r="BI23" s="75"/>
      <c r="BJ23" s="37"/>
      <c r="BK23" s="19">
        <f t="shared" si="5"/>
        <v>31849.97</v>
      </c>
      <c r="BL23" s="17">
        <v>30.5547</v>
      </c>
      <c r="BM23" s="3">
        <f>+$BL$23*BM2</f>
        <v>2444.3760000000002</v>
      </c>
      <c r="BN23" s="3">
        <f t="shared" ref="BN23:BW23" si="28">+$BL$23*BN2</f>
        <v>2444.3760000000002</v>
      </c>
      <c r="BO23" s="3">
        <f t="shared" si="28"/>
        <v>2444.3760000000002</v>
      </c>
      <c r="BP23" s="3">
        <f t="shared" si="28"/>
        <v>2444.3760000000002</v>
      </c>
      <c r="BQ23" s="3">
        <f t="shared" si="28"/>
        <v>2444.3760000000002</v>
      </c>
      <c r="BR23" s="3">
        <f t="shared" si="28"/>
        <v>2444.3760000000002</v>
      </c>
      <c r="BS23" s="3">
        <f t="shared" si="28"/>
        <v>2444.3760000000002</v>
      </c>
      <c r="BT23" s="3">
        <f t="shared" si="28"/>
        <v>2444.3760000000002</v>
      </c>
      <c r="BU23" s="3">
        <f t="shared" si="28"/>
        <v>2444.3760000000002</v>
      </c>
      <c r="BV23" s="3">
        <f t="shared" si="28"/>
        <v>2444.3760000000002</v>
      </c>
      <c r="BW23" s="3">
        <f t="shared" si="28"/>
        <v>1711.0632000000001</v>
      </c>
      <c r="BX23" s="4">
        <f t="shared" si="7"/>
        <v>26154.823200000003</v>
      </c>
      <c r="BY23" s="25">
        <f t="shared" si="8"/>
        <v>5695.1467999999986</v>
      </c>
      <c r="CA23" s="86">
        <f t="shared" si="9"/>
        <v>63553.775999999998</v>
      </c>
    </row>
    <row r="24" spans="1:80" ht="13.5" customHeight="1" x14ac:dyDescent="0.25">
      <c r="A24" s="71">
        <f t="shared" si="10"/>
        <v>21</v>
      </c>
      <c r="B24" s="12" t="s">
        <v>33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37">
        <f t="shared" si="2"/>
        <v>0</v>
      </c>
      <c r="R24" s="34"/>
      <c r="S24" s="34">
        <v>413.44</v>
      </c>
      <c r="T24" s="34"/>
      <c r="U24" s="34">
        <v>683.51</v>
      </c>
      <c r="V24" s="34"/>
      <c r="W24" s="34"/>
      <c r="X24" s="34">
        <v>14021.38</v>
      </c>
      <c r="Y24" s="34"/>
      <c r="Z24" s="34"/>
      <c r="AA24" s="34"/>
      <c r="AB24" s="34"/>
      <c r="AC24" s="34"/>
      <c r="AD24" s="34"/>
      <c r="AE24" s="34">
        <v>1600</v>
      </c>
      <c r="AF24" s="34">
        <v>7051.92</v>
      </c>
      <c r="AG24" s="37">
        <f t="shared" si="3"/>
        <v>23770.25</v>
      </c>
      <c r="AH24" s="61"/>
      <c r="AI24" s="4"/>
      <c r="AJ24" s="63"/>
      <c r="AK24" s="63">
        <v>10396.92</v>
      </c>
      <c r="AL24" s="61">
        <v>800</v>
      </c>
      <c r="AM24" s="34"/>
      <c r="AN24" s="4"/>
      <c r="AO24" s="4">
        <v>1574.4</v>
      </c>
      <c r="AP24" s="35">
        <f t="shared" si="4"/>
        <v>12771.32</v>
      </c>
      <c r="AQ24" s="3"/>
      <c r="AR24" s="3"/>
      <c r="AS24" s="3"/>
      <c r="AT24" s="3"/>
      <c r="AU24" s="3"/>
      <c r="AV24" s="3"/>
      <c r="AW24" s="3"/>
      <c r="AX24" s="3"/>
      <c r="AY24" s="3"/>
      <c r="AZ24" s="35">
        <f t="shared" si="18"/>
        <v>0</v>
      </c>
      <c r="BA24" s="35">
        <v>3800</v>
      </c>
      <c r="BB24" s="35"/>
      <c r="BC24" s="35"/>
      <c r="BD24" s="35"/>
      <c r="BE24" s="75"/>
      <c r="BF24" s="75"/>
      <c r="BG24" s="75"/>
      <c r="BH24" s="75"/>
      <c r="BI24" s="75"/>
      <c r="BJ24" s="37"/>
      <c r="BK24" s="19">
        <f t="shared" si="5"/>
        <v>40341.57</v>
      </c>
      <c r="BL24" s="17">
        <v>36.538499999999999</v>
      </c>
      <c r="BM24" s="3">
        <f>+$BL$24*BM2</f>
        <v>2923.08</v>
      </c>
      <c r="BN24" s="3">
        <f t="shared" ref="BN24:BW24" si="29">+$BL$24*BN2</f>
        <v>2923.08</v>
      </c>
      <c r="BO24" s="3">
        <f t="shared" si="29"/>
        <v>2923.08</v>
      </c>
      <c r="BP24" s="3">
        <f t="shared" si="29"/>
        <v>2923.08</v>
      </c>
      <c r="BQ24" s="3">
        <f t="shared" si="29"/>
        <v>2923.08</v>
      </c>
      <c r="BR24" s="3">
        <f t="shared" si="29"/>
        <v>2923.08</v>
      </c>
      <c r="BS24" s="3">
        <f t="shared" si="29"/>
        <v>2923.08</v>
      </c>
      <c r="BT24" s="3">
        <f t="shared" si="29"/>
        <v>2923.08</v>
      </c>
      <c r="BU24" s="3">
        <f t="shared" si="29"/>
        <v>2923.08</v>
      </c>
      <c r="BV24" s="3">
        <f t="shared" si="29"/>
        <v>2923.08</v>
      </c>
      <c r="BW24" s="3">
        <f t="shared" si="29"/>
        <v>2046.1559999999999</v>
      </c>
      <c r="BX24" s="4">
        <f t="shared" si="7"/>
        <v>31276.956000000002</v>
      </c>
      <c r="BY24" s="27">
        <f t="shared" si="8"/>
        <v>9064.6139999999978</v>
      </c>
      <c r="CA24" s="86">
        <f t="shared" si="9"/>
        <v>76000.08</v>
      </c>
    </row>
    <row r="25" spans="1:80" x14ac:dyDescent="0.25">
      <c r="A25" s="71">
        <f t="shared" si="10"/>
        <v>22</v>
      </c>
      <c r="B25" s="12" t="s">
        <v>58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37">
        <f t="shared" si="2"/>
        <v>0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7">
        <f t="shared" si="3"/>
        <v>0</v>
      </c>
      <c r="AH25" s="61"/>
      <c r="AI25" s="4"/>
      <c r="AJ25" s="63"/>
      <c r="AK25" s="63"/>
      <c r="AL25" s="61"/>
      <c r="AM25" s="34"/>
      <c r="AN25" s="4"/>
      <c r="AO25" s="4"/>
      <c r="AP25" s="35">
        <f t="shared" si="4"/>
        <v>0</v>
      </c>
      <c r="AQ25" s="4"/>
      <c r="AR25" s="4"/>
      <c r="AS25" s="4"/>
      <c r="AT25" s="4">
        <v>26255.11</v>
      </c>
      <c r="AU25" s="4"/>
      <c r="AV25" s="4"/>
      <c r="AW25" s="4"/>
      <c r="AX25" s="4"/>
      <c r="AY25" s="4"/>
      <c r="AZ25" s="35">
        <f t="shared" si="18"/>
        <v>26255.11</v>
      </c>
      <c r="BA25" s="35"/>
      <c r="BB25" s="35"/>
      <c r="BC25" s="35"/>
      <c r="BD25" s="35"/>
      <c r="BE25" s="75"/>
      <c r="BF25" s="75"/>
      <c r="BG25" s="75"/>
      <c r="BH25" s="75"/>
      <c r="BI25" s="75"/>
      <c r="BJ25" s="37"/>
      <c r="BK25" s="19">
        <f t="shared" si="5"/>
        <v>26255.11</v>
      </c>
      <c r="BL25" s="16">
        <v>24.038499999999999</v>
      </c>
      <c r="BM25" s="4">
        <f>+$BL$25*BM2</f>
        <v>1923.08</v>
      </c>
      <c r="BN25" s="4">
        <f t="shared" ref="BN25:BW25" si="30">+$BL$25*BN2</f>
        <v>1923.08</v>
      </c>
      <c r="BO25" s="4">
        <f t="shared" si="30"/>
        <v>1923.08</v>
      </c>
      <c r="BP25" s="4">
        <f t="shared" si="30"/>
        <v>1923.08</v>
      </c>
      <c r="BQ25" s="4">
        <f t="shared" si="30"/>
        <v>1923.08</v>
      </c>
      <c r="BR25" s="4">
        <f t="shared" si="30"/>
        <v>1923.08</v>
      </c>
      <c r="BS25" s="4">
        <f t="shared" si="30"/>
        <v>1923.08</v>
      </c>
      <c r="BT25" s="4">
        <f t="shared" si="30"/>
        <v>1923.08</v>
      </c>
      <c r="BU25" s="4">
        <f t="shared" si="30"/>
        <v>1923.08</v>
      </c>
      <c r="BV25" s="4">
        <f t="shared" si="30"/>
        <v>1923.08</v>
      </c>
      <c r="BW25" s="4">
        <f t="shared" si="30"/>
        <v>1346.1559999999999</v>
      </c>
      <c r="BX25" s="4">
        <f t="shared" si="7"/>
        <v>20576.956000000002</v>
      </c>
      <c r="BY25" s="25">
        <f t="shared" si="8"/>
        <v>5678.1539999999986</v>
      </c>
      <c r="CA25" s="86">
        <f t="shared" si="9"/>
        <v>50000.08</v>
      </c>
    </row>
    <row r="26" spans="1:80" x14ac:dyDescent="0.25">
      <c r="A26" s="71">
        <f t="shared" si="10"/>
        <v>23</v>
      </c>
      <c r="B26" s="12" t="s">
        <v>53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37">
        <f t="shared" si="2"/>
        <v>0</v>
      </c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7">
        <f t="shared" si="3"/>
        <v>0</v>
      </c>
      <c r="AH26" s="61"/>
      <c r="AI26" s="4"/>
      <c r="AJ26" s="63"/>
      <c r="AK26" s="63"/>
      <c r="AL26" s="61"/>
      <c r="AM26" s="34"/>
      <c r="AN26" s="4"/>
      <c r="AO26" s="4"/>
      <c r="AP26" s="35">
        <f t="shared" si="4"/>
        <v>0</v>
      </c>
      <c r="AQ26" s="4"/>
      <c r="AR26" s="4"/>
      <c r="AS26" s="4">
        <v>33624.85</v>
      </c>
      <c r="AT26" s="4"/>
      <c r="AU26" s="4"/>
      <c r="AV26" s="4"/>
      <c r="AW26" s="4"/>
      <c r="AX26" s="4"/>
      <c r="AY26" s="4"/>
      <c r="AZ26" s="35">
        <f t="shared" si="18"/>
        <v>33624.85</v>
      </c>
      <c r="BA26" s="35"/>
      <c r="BB26" s="35"/>
      <c r="BC26" s="35"/>
      <c r="BD26" s="35"/>
      <c r="BE26" s="75"/>
      <c r="BF26" s="75"/>
      <c r="BG26" s="75"/>
      <c r="BH26" s="75"/>
      <c r="BI26" s="75"/>
      <c r="BJ26" s="37"/>
      <c r="BK26" s="19">
        <f t="shared" si="5"/>
        <v>33624.85</v>
      </c>
      <c r="BL26" s="16">
        <v>32.257100000000001</v>
      </c>
      <c r="BM26" s="4">
        <f>+$BL$26*BM2</f>
        <v>2580.5680000000002</v>
      </c>
      <c r="BN26" s="4">
        <f t="shared" ref="BN26:BW26" si="31">+$BL$26*BN2</f>
        <v>2580.5680000000002</v>
      </c>
      <c r="BO26" s="4">
        <f t="shared" si="31"/>
        <v>2580.5680000000002</v>
      </c>
      <c r="BP26" s="4">
        <f t="shared" si="31"/>
        <v>2580.5680000000002</v>
      </c>
      <c r="BQ26" s="4">
        <f t="shared" si="31"/>
        <v>2580.5680000000002</v>
      </c>
      <c r="BR26" s="4">
        <f t="shared" si="31"/>
        <v>2580.5680000000002</v>
      </c>
      <c r="BS26" s="4">
        <f t="shared" si="31"/>
        <v>2580.5680000000002</v>
      </c>
      <c r="BT26" s="4">
        <f t="shared" si="31"/>
        <v>2580.5680000000002</v>
      </c>
      <c r="BU26" s="4">
        <f t="shared" si="31"/>
        <v>2580.5680000000002</v>
      </c>
      <c r="BV26" s="4">
        <f t="shared" si="31"/>
        <v>2580.5680000000002</v>
      </c>
      <c r="BW26" s="4">
        <f t="shared" si="31"/>
        <v>1806.3976</v>
      </c>
      <c r="BX26" s="4">
        <f t="shared" si="7"/>
        <v>27612.077599999997</v>
      </c>
      <c r="BY26" s="25">
        <f t="shared" si="8"/>
        <v>6012.7724000000017</v>
      </c>
      <c r="CA26" s="86">
        <f t="shared" si="9"/>
        <v>67094.767999999996</v>
      </c>
    </row>
    <row r="27" spans="1:80" x14ac:dyDescent="0.25">
      <c r="A27" s="71">
        <f t="shared" si="10"/>
        <v>24</v>
      </c>
      <c r="B27" s="12" t="s">
        <v>71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37">
        <f t="shared" si="2"/>
        <v>0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7">
        <f t="shared" si="3"/>
        <v>0</v>
      </c>
      <c r="AH27" s="61"/>
      <c r="AI27" s="4"/>
      <c r="AJ27" s="63"/>
      <c r="AK27" s="63"/>
      <c r="AL27" s="61">
        <v>26686.63</v>
      </c>
      <c r="AM27" s="34"/>
      <c r="AN27" s="4"/>
      <c r="AO27" s="4"/>
      <c r="AP27" s="35">
        <f t="shared" si="4"/>
        <v>26686.63</v>
      </c>
      <c r="AQ27" s="4"/>
      <c r="AR27" s="4"/>
      <c r="AS27" s="4"/>
      <c r="AT27" s="4"/>
      <c r="AU27" s="4"/>
      <c r="AV27" s="4"/>
      <c r="AW27" s="4"/>
      <c r="AX27" s="4"/>
      <c r="AY27" s="4"/>
      <c r="AZ27" s="35">
        <f t="shared" si="18"/>
        <v>0</v>
      </c>
      <c r="BA27" s="35"/>
      <c r="BB27" s="35"/>
      <c r="BC27" s="35"/>
      <c r="BD27" s="35"/>
      <c r="BE27" s="75"/>
      <c r="BF27" s="75"/>
      <c r="BG27" s="75"/>
      <c r="BH27" s="75"/>
      <c r="BI27" s="75"/>
      <c r="BJ27" s="37"/>
      <c r="BK27" s="19">
        <f t="shared" si="5"/>
        <v>26686.63</v>
      </c>
      <c r="BL27" s="16">
        <v>25.600999999999999</v>
      </c>
      <c r="BM27" s="4">
        <f>+$BL$27*BM2</f>
        <v>2048.08</v>
      </c>
      <c r="BN27" s="4">
        <f t="shared" ref="BN27:BW27" si="32">+$BL$27*BN2</f>
        <v>2048.08</v>
      </c>
      <c r="BO27" s="4">
        <f t="shared" si="32"/>
        <v>2048.08</v>
      </c>
      <c r="BP27" s="4">
        <f t="shared" si="32"/>
        <v>2048.08</v>
      </c>
      <c r="BQ27" s="4">
        <f t="shared" si="32"/>
        <v>2048.08</v>
      </c>
      <c r="BR27" s="4">
        <f t="shared" si="32"/>
        <v>2048.08</v>
      </c>
      <c r="BS27" s="4">
        <f t="shared" si="32"/>
        <v>2048.08</v>
      </c>
      <c r="BT27" s="4">
        <f t="shared" si="32"/>
        <v>2048.08</v>
      </c>
      <c r="BU27" s="4">
        <f t="shared" si="32"/>
        <v>2048.08</v>
      </c>
      <c r="BV27" s="4">
        <f t="shared" si="32"/>
        <v>2048.08</v>
      </c>
      <c r="BW27" s="4">
        <f t="shared" si="32"/>
        <v>1433.6559999999999</v>
      </c>
      <c r="BX27" s="4">
        <f t="shared" si="7"/>
        <v>21914.456000000002</v>
      </c>
      <c r="BY27" s="27">
        <f t="shared" si="8"/>
        <v>4772.1739999999991</v>
      </c>
      <c r="CA27" s="86">
        <f t="shared" si="9"/>
        <v>53250.080000000002</v>
      </c>
    </row>
    <row r="28" spans="1:80" x14ac:dyDescent="0.25">
      <c r="A28" s="71">
        <f t="shared" si="10"/>
        <v>25</v>
      </c>
      <c r="B28" s="12" t="s">
        <v>75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37">
        <f t="shared" si="2"/>
        <v>0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7">
        <f t="shared" si="3"/>
        <v>0</v>
      </c>
      <c r="AH28" s="61"/>
      <c r="AI28" s="4"/>
      <c r="AJ28" s="63"/>
      <c r="AK28" s="63"/>
      <c r="AL28" s="61"/>
      <c r="AM28" s="34">
        <v>29397.74</v>
      </c>
      <c r="AN28" s="4"/>
      <c r="AO28" s="4"/>
      <c r="AP28" s="35">
        <f t="shared" si="4"/>
        <v>29397.74</v>
      </c>
      <c r="AQ28" s="4"/>
      <c r="AR28" s="4"/>
      <c r="AS28" s="4"/>
      <c r="AT28" s="4"/>
      <c r="AU28" s="4"/>
      <c r="AV28" s="4"/>
      <c r="AW28" s="4"/>
      <c r="AX28" s="4"/>
      <c r="AY28" s="4"/>
      <c r="AZ28" s="35">
        <f t="shared" si="18"/>
        <v>0</v>
      </c>
      <c r="BA28" s="35"/>
      <c r="BB28" s="35"/>
      <c r="BC28" s="35"/>
      <c r="BD28" s="35"/>
      <c r="BE28" s="75"/>
      <c r="BF28" s="75"/>
      <c r="BG28" s="75"/>
      <c r="BH28" s="75"/>
      <c r="BI28" s="75"/>
      <c r="BJ28" s="37"/>
      <c r="BK28" s="19">
        <f t="shared" si="5"/>
        <v>29397.74</v>
      </c>
      <c r="BL28" s="16">
        <v>28.161000000000001</v>
      </c>
      <c r="BM28" s="4">
        <f>+$BL$28*BM2</f>
        <v>2252.88</v>
      </c>
      <c r="BN28" s="4">
        <f t="shared" ref="BN28:BW28" si="33">+$BL$28*BN2</f>
        <v>2252.88</v>
      </c>
      <c r="BO28" s="4">
        <f t="shared" si="33"/>
        <v>2252.88</v>
      </c>
      <c r="BP28" s="4">
        <f t="shared" si="33"/>
        <v>2252.88</v>
      </c>
      <c r="BQ28" s="4">
        <f t="shared" si="33"/>
        <v>2252.88</v>
      </c>
      <c r="BR28" s="4">
        <f t="shared" si="33"/>
        <v>2252.88</v>
      </c>
      <c r="BS28" s="4">
        <f t="shared" si="33"/>
        <v>2252.88</v>
      </c>
      <c r="BT28" s="4">
        <f t="shared" si="33"/>
        <v>2252.88</v>
      </c>
      <c r="BU28" s="4">
        <f t="shared" si="33"/>
        <v>2252.88</v>
      </c>
      <c r="BV28" s="4">
        <f t="shared" si="33"/>
        <v>2252.88</v>
      </c>
      <c r="BW28" s="4">
        <f t="shared" si="33"/>
        <v>1577.0160000000001</v>
      </c>
      <c r="BX28" s="4">
        <f t="shared" si="7"/>
        <v>24105.816000000006</v>
      </c>
      <c r="BY28" s="27">
        <f t="shared" si="8"/>
        <v>5291.9239999999954</v>
      </c>
      <c r="CA28" s="86">
        <f t="shared" si="9"/>
        <v>58574.880000000005</v>
      </c>
    </row>
    <row r="29" spans="1:80" x14ac:dyDescent="0.25">
      <c r="A29" s="71">
        <f t="shared" si="10"/>
        <v>26</v>
      </c>
      <c r="B29" s="13" t="s">
        <v>20</v>
      </c>
      <c r="C29" s="51"/>
      <c r="D29" s="51"/>
      <c r="E29" s="51"/>
      <c r="F29" s="51"/>
      <c r="G29" s="51"/>
      <c r="H29" s="51">
        <v>5653.86</v>
      </c>
      <c r="I29" s="51"/>
      <c r="J29" s="51"/>
      <c r="K29" s="51"/>
      <c r="L29" s="51"/>
      <c r="M29" s="51">
        <v>1558.65</v>
      </c>
      <c r="N29" s="51"/>
      <c r="O29" s="51">
        <v>926.92</v>
      </c>
      <c r="P29" s="51"/>
      <c r="Q29" s="37">
        <f t="shared" si="2"/>
        <v>8139.43</v>
      </c>
      <c r="R29" s="34"/>
      <c r="S29" s="34">
        <v>8031.41</v>
      </c>
      <c r="T29" s="34"/>
      <c r="U29" s="34"/>
      <c r="V29" s="34"/>
      <c r="W29" s="34"/>
      <c r="X29" s="34"/>
      <c r="Y29" s="34"/>
      <c r="Z29" s="34"/>
      <c r="AA29" s="34"/>
      <c r="AB29" s="34"/>
      <c r="AC29" s="34">
        <v>1600</v>
      </c>
      <c r="AD29" s="34"/>
      <c r="AE29" s="34">
        <v>2000</v>
      </c>
      <c r="AF29" s="34">
        <v>3500</v>
      </c>
      <c r="AG29" s="37">
        <f t="shared" si="3"/>
        <v>15131.41</v>
      </c>
      <c r="AH29" s="62">
        <v>0</v>
      </c>
      <c r="AI29" s="3">
        <v>0</v>
      </c>
      <c r="AJ29" s="62"/>
      <c r="AK29" s="62"/>
      <c r="AL29" s="62"/>
      <c r="AM29" s="3"/>
      <c r="AN29" s="3"/>
      <c r="AO29" s="3"/>
      <c r="AP29" s="35">
        <f t="shared" si="4"/>
        <v>0</v>
      </c>
      <c r="AQ29" s="3"/>
      <c r="AR29" s="3"/>
      <c r="AS29" s="3">
        <v>3648.07</v>
      </c>
      <c r="AT29" s="3">
        <v>875.97</v>
      </c>
      <c r="AU29" s="3"/>
      <c r="AV29" s="77">
        <v>3745.18</v>
      </c>
      <c r="AW29" s="3">
        <v>1600</v>
      </c>
      <c r="AX29" s="3"/>
      <c r="AY29" s="3">
        <v>1600</v>
      </c>
      <c r="AZ29" s="35">
        <f t="shared" si="18"/>
        <v>11469.22</v>
      </c>
      <c r="BA29" s="35"/>
      <c r="BB29" s="35"/>
      <c r="BC29" s="35"/>
      <c r="BD29" s="73">
        <v>2100</v>
      </c>
      <c r="BE29" s="76"/>
      <c r="BF29" s="76"/>
      <c r="BG29" s="76"/>
      <c r="BH29" s="76"/>
      <c r="BI29" s="76"/>
      <c r="BJ29" s="35"/>
      <c r="BK29" s="19">
        <f t="shared" si="5"/>
        <v>36840.06</v>
      </c>
      <c r="BL29" s="17">
        <v>33.6539</v>
      </c>
      <c r="BM29" s="3">
        <f>+$BL$29*BM2</f>
        <v>2692.3119999999999</v>
      </c>
      <c r="BN29" s="3">
        <f t="shared" ref="BN29:BW29" si="34">+$BL$29*BN2</f>
        <v>2692.3119999999999</v>
      </c>
      <c r="BO29" s="3">
        <f t="shared" si="34"/>
        <v>2692.3119999999999</v>
      </c>
      <c r="BP29" s="3">
        <f t="shared" si="34"/>
        <v>2692.3119999999999</v>
      </c>
      <c r="BQ29" s="3">
        <f t="shared" si="34"/>
        <v>2692.3119999999999</v>
      </c>
      <c r="BR29" s="3">
        <f t="shared" si="34"/>
        <v>2692.3119999999999</v>
      </c>
      <c r="BS29" s="3">
        <f t="shared" si="34"/>
        <v>2692.3119999999999</v>
      </c>
      <c r="BT29" s="3">
        <f t="shared" si="34"/>
        <v>2692.3119999999999</v>
      </c>
      <c r="BU29" s="3">
        <f t="shared" si="34"/>
        <v>2692.3119999999999</v>
      </c>
      <c r="BV29" s="3">
        <f t="shared" si="34"/>
        <v>2692.3119999999999</v>
      </c>
      <c r="BW29" s="3">
        <f t="shared" si="34"/>
        <v>1884.6184000000001</v>
      </c>
      <c r="BX29" s="4">
        <f t="shared" si="7"/>
        <v>28807.738399999995</v>
      </c>
      <c r="BY29" s="27">
        <f t="shared" si="8"/>
        <v>8032.3216000000029</v>
      </c>
      <c r="CA29" s="86">
        <f t="shared" si="9"/>
        <v>70000.111999999994</v>
      </c>
    </row>
    <row r="30" spans="1:80" x14ac:dyDescent="0.25">
      <c r="A30" s="71">
        <v>27</v>
      </c>
      <c r="B30" s="68" t="s">
        <v>93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37">
        <f t="shared" si="2"/>
        <v>0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3">
        <v>28336.18</v>
      </c>
      <c r="AE30" s="34"/>
      <c r="AF30" s="34"/>
      <c r="AG30" s="37">
        <f t="shared" si="3"/>
        <v>28336.18</v>
      </c>
      <c r="AH30" s="62"/>
      <c r="AI30" s="3"/>
      <c r="AJ30" s="62"/>
      <c r="AK30" s="62"/>
      <c r="AL30" s="62"/>
      <c r="AM30" s="3"/>
      <c r="AN30" s="3"/>
      <c r="AO30" s="3"/>
      <c r="AP30" s="35"/>
      <c r="AQ30" s="3"/>
      <c r="AR30" s="3"/>
      <c r="AS30" s="3"/>
      <c r="AT30" s="3"/>
      <c r="AU30" s="3"/>
      <c r="AV30" s="3"/>
      <c r="AW30" s="3"/>
      <c r="AX30" s="3"/>
      <c r="AY30" s="3"/>
      <c r="AZ30" s="35"/>
      <c r="BA30" s="35"/>
      <c r="BB30" s="35"/>
      <c r="BC30" s="35"/>
      <c r="BD30" s="35"/>
      <c r="BE30" s="76"/>
      <c r="BF30" s="76"/>
      <c r="BG30" s="76"/>
      <c r="BH30" s="76"/>
      <c r="BI30" s="76"/>
      <c r="BJ30" s="35"/>
      <c r="BK30" s="42">
        <f t="shared" si="5"/>
        <v>28336.18</v>
      </c>
      <c r="BL30" s="17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60"/>
      <c r="BY30" s="28">
        <f t="shared" si="8"/>
        <v>28336.18</v>
      </c>
      <c r="CA30" s="86">
        <f t="shared" si="9"/>
        <v>0</v>
      </c>
    </row>
    <row r="31" spans="1:80" x14ac:dyDescent="0.25">
      <c r="A31" s="71">
        <v>28</v>
      </c>
      <c r="B31" s="69" t="s">
        <v>94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72">
        <v>26000</v>
      </c>
      <c r="O31" s="52"/>
      <c r="P31" s="52"/>
      <c r="Q31" s="37">
        <f t="shared" si="2"/>
        <v>26000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57">
        <v>0</v>
      </c>
      <c r="AE31" s="34"/>
      <c r="AF31" s="34"/>
      <c r="AG31" s="37">
        <f t="shared" si="3"/>
        <v>0</v>
      </c>
      <c r="AH31" s="61"/>
      <c r="AI31" s="4"/>
      <c r="AJ31" s="63">
        <v>0</v>
      </c>
      <c r="AK31" s="63">
        <v>0</v>
      </c>
      <c r="AL31" s="61"/>
      <c r="AM31" s="34"/>
      <c r="AN31" s="4"/>
      <c r="AO31" s="4"/>
      <c r="AP31" s="35">
        <f t="shared" si="4"/>
        <v>0</v>
      </c>
      <c r="AQ31" s="3"/>
      <c r="AR31" s="3"/>
      <c r="AS31" s="3"/>
      <c r="AT31" s="3">
        <v>0</v>
      </c>
      <c r="AU31" s="3"/>
      <c r="AV31" s="3"/>
      <c r="AW31" s="3"/>
      <c r="AX31" s="3"/>
      <c r="AY31" s="3"/>
      <c r="AZ31" s="35">
        <f t="shared" si="18"/>
        <v>0</v>
      </c>
      <c r="BA31" s="35"/>
      <c r="BB31" s="35"/>
      <c r="BC31" s="35"/>
      <c r="BD31" s="35">
        <v>0</v>
      </c>
      <c r="BE31" s="75"/>
      <c r="BF31" s="75"/>
      <c r="BG31" s="75"/>
      <c r="BH31" s="75"/>
      <c r="BI31" s="75"/>
      <c r="BJ31" s="37"/>
      <c r="BK31" s="42">
        <f t="shared" si="5"/>
        <v>26000</v>
      </c>
      <c r="BL31" s="17">
        <v>0</v>
      </c>
      <c r="BM31" s="26">
        <f>+$BL$31*BM2</f>
        <v>0</v>
      </c>
      <c r="BN31" s="26">
        <f t="shared" ref="BN31:BW31" si="35">+$BL$31*BN2</f>
        <v>0</v>
      </c>
      <c r="BO31" s="26">
        <f t="shared" si="35"/>
        <v>0</v>
      </c>
      <c r="BP31" s="26">
        <f t="shared" si="35"/>
        <v>0</v>
      </c>
      <c r="BQ31" s="26">
        <f t="shared" si="35"/>
        <v>0</v>
      </c>
      <c r="BR31" s="26">
        <f t="shared" si="35"/>
        <v>0</v>
      </c>
      <c r="BS31" s="26">
        <f t="shared" si="35"/>
        <v>0</v>
      </c>
      <c r="BT31" s="26">
        <f t="shared" si="35"/>
        <v>0</v>
      </c>
      <c r="BU31" s="26">
        <f t="shared" si="35"/>
        <v>0</v>
      </c>
      <c r="BV31" s="26">
        <f t="shared" si="35"/>
        <v>0</v>
      </c>
      <c r="BW31" s="26">
        <f t="shared" si="35"/>
        <v>0</v>
      </c>
      <c r="BX31" s="38">
        <f t="shared" si="7"/>
        <v>0</v>
      </c>
      <c r="BY31" s="29">
        <f t="shared" si="8"/>
        <v>26000</v>
      </c>
      <c r="CA31" s="86">
        <f t="shared" si="9"/>
        <v>0</v>
      </c>
    </row>
    <row r="32" spans="1:80" x14ac:dyDescent="0.25">
      <c r="A32" s="71">
        <f t="shared" si="10"/>
        <v>29</v>
      </c>
      <c r="B32" s="12" t="s">
        <v>28</v>
      </c>
      <c r="C32" s="48"/>
      <c r="D32" s="48"/>
      <c r="E32" s="48"/>
      <c r="F32" s="48">
        <v>3192.92</v>
      </c>
      <c r="G32" s="48"/>
      <c r="H32" s="48"/>
      <c r="I32" s="48"/>
      <c r="J32" s="48"/>
      <c r="K32" s="48"/>
      <c r="L32" s="48">
        <v>178.86</v>
      </c>
      <c r="M32" s="48"/>
      <c r="N32" s="48"/>
      <c r="O32" s="48"/>
      <c r="P32" s="48"/>
      <c r="Q32" s="37">
        <f t="shared" si="2"/>
        <v>3371.78</v>
      </c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7">
        <f t="shared" si="3"/>
        <v>0</v>
      </c>
      <c r="AH32" s="62">
        <v>0</v>
      </c>
      <c r="AI32" s="3">
        <v>0</v>
      </c>
      <c r="AJ32" s="62">
        <v>3980.05</v>
      </c>
      <c r="AK32" s="62"/>
      <c r="AL32" s="62"/>
      <c r="AM32" s="3"/>
      <c r="AN32" s="3"/>
      <c r="AO32" s="3"/>
      <c r="AP32" s="35">
        <f t="shared" si="4"/>
        <v>3980.05</v>
      </c>
      <c r="AQ32" s="3"/>
      <c r="AR32" s="3"/>
      <c r="AS32" s="3"/>
      <c r="AT32" s="3">
        <v>37176.160000000003</v>
      </c>
      <c r="AU32" s="3"/>
      <c r="AV32" s="3"/>
      <c r="AW32" s="3"/>
      <c r="AX32" s="3"/>
      <c r="AY32" s="3"/>
      <c r="AZ32" s="35">
        <f t="shared" si="18"/>
        <v>37176.160000000003</v>
      </c>
      <c r="BA32" s="35"/>
      <c r="BB32" s="35"/>
      <c r="BC32" s="35"/>
      <c r="BD32" s="35"/>
      <c r="BE32" s="76"/>
      <c r="BF32" s="76"/>
      <c r="BG32" s="76"/>
      <c r="BH32" s="76"/>
      <c r="BI32" s="76"/>
      <c r="BJ32" s="35"/>
      <c r="BK32" s="19">
        <f t="shared" si="5"/>
        <v>44527.990000000005</v>
      </c>
      <c r="BL32" s="17">
        <v>40.958300000000001</v>
      </c>
      <c r="BM32" s="3">
        <f>+$BL$32*BM2</f>
        <v>3276.6640000000002</v>
      </c>
      <c r="BN32" s="3">
        <f t="shared" ref="BN32:BW32" si="36">+$BL$32*BN2</f>
        <v>3276.6640000000002</v>
      </c>
      <c r="BO32" s="3">
        <f t="shared" si="36"/>
        <v>3276.6640000000002</v>
      </c>
      <c r="BP32" s="3">
        <f t="shared" si="36"/>
        <v>3276.6640000000002</v>
      </c>
      <c r="BQ32" s="3">
        <f t="shared" si="36"/>
        <v>3276.6640000000002</v>
      </c>
      <c r="BR32" s="3">
        <f t="shared" si="36"/>
        <v>3276.6640000000002</v>
      </c>
      <c r="BS32" s="3">
        <f t="shared" si="36"/>
        <v>3276.6640000000002</v>
      </c>
      <c r="BT32" s="3">
        <f t="shared" si="36"/>
        <v>3276.6640000000002</v>
      </c>
      <c r="BU32" s="3">
        <f t="shared" si="36"/>
        <v>3276.6640000000002</v>
      </c>
      <c r="BV32" s="3">
        <f t="shared" si="36"/>
        <v>3276.6640000000002</v>
      </c>
      <c r="BW32" s="3">
        <f t="shared" si="36"/>
        <v>2293.6648</v>
      </c>
      <c r="BX32" s="4">
        <f t="shared" si="7"/>
        <v>35060.304800000005</v>
      </c>
      <c r="BY32" s="25">
        <f t="shared" si="8"/>
        <v>9467.6851999999999</v>
      </c>
      <c r="CA32" s="86">
        <f t="shared" si="9"/>
        <v>85193.263999999996</v>
      </c>
    </row>
    <row r="33" spans="1:81" x14ac:dyDescent="0.25">
      <c r="A33" s="71">
        <f t="shared" si="10"/>
        <v>30</v>
      </c>
      <c r="B33" s="12" t="s">
        <v>70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37">
        <f t="shared" si="2"/>
        <v>0</v>
      </c>
      <c r="R33" s="34"/>
      <c r="S33" s="34">
        <v>13036</v>
      </c>
      <c r="T33" s="34"/>
      <c r="U33" s="34"/>
      <c r="V33" s="34">
        <v>1084</v>
      </c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7">
        <f t="shared" si="3"/>
        <v>14120</v>
      </c>
      <c r="AH33" s="61"/>
      <c r="AI33" s="4"/>
      <c r="AJ33" s="63"/>
      <c r="AK33" s="63"/>
      <c r="AL33" s="61"/>
      <c r="AM33" s="34"/>
      <c r="AN33" s="4"/>
      <c r="AO33" s="4"/>
      <c r="AP33" s="35">
        <f t="shared" si="4"/>
        <v>0</v>
      </c>
      <c r="AQ33" s="4"/>
      <c r="AR33" s="4"/>
      <c r="AS33" s="4"/>
      <c r="AT33" s="4"/>
      <c r="AU33" s="4"/>
      <c r="AV33" s="4"/>
      <c r="AW33" s="4"/>
      <c r="AX33" s="4"/>
      <c r="AY33" s="4"/>
      <c r="AZ33" s="35">
        <f t="shared" si="18"/>
        <v>0</v>
      </c>
      <c r="BA33" s="35"/>
      <c r="BB33" s="35"/>
      <c r="BC33" s="35"/>
      <c r="BD33" s="35"/>
      <c r="BE33" s="75"/>
      <c r="BF33" s="75"/>
      <c r="BG33" s="75"/>
      <c r="BH33" s="75"/>
      <c r="BI33" s="75"/>
      <c r="BJ33" s="37"/>
      <c r="BK33" s="19">
        <f t="shared" si="5"/>
        <v>14120</v>
      </c>
      <c r="BL33" s="16">
        <v>20</v>
      </c>
      <c r="BM33" s="4">
        <f t="shared" ref="BM33:BV33" si="37">+$BL$33*70</f>
        <v>1400</v>
      </c>
      <c r="BN33" s="4">
        <f t="shared" si="37"/>
        <v>1400</v>
      </c>
      <c r="BO33" s="4">
        <f t="shared" si="37"/>
        <v>1400</v>
      </c>
      <c r="BP33" s="4">
        <f t="shared" si="37"/>
        <v>1400</v>
      </c>
      <c r="BQ33" s="4">
        <f t="shared" si="37"/>
        <v>1400</v>
      </c>
      <c r="BR33" s="4">
        <f t="shared" si="37"/>
        <v>1400</v>
      </c>
      <c r="BS33" s="4">
        <f t="shared" si="37"/>
        <v>1400</v>
      </c>
      <c r="BT33" s="4">
        <f t="shared" si="37"/>
        <v>1400</v>
      </c>
      <c r="BU33" s="4">
        <f t="shared" si="37"/>
        <v>1400</v>
      </c>
      <c r="BV33" s="4">
        <f t="shared" si="37"/>
        <v>1400</v>
      </c>
      <c r="BW33" s="38">
        <v>0</v>
      </c>
      <c r="BX33" s="4">
        <f t="shared" si="7"/>
        <v>14000</v>
      </c>
      <c r="BY33" s="27">
        <f t="shared" si="8"/>
        <v>120</v>
      </c>
      <c r="CA33" s="86">
        <f t="shared" si="9"/>
        <v>41600</v>
      </c>
    </row>
    <row r="34" spans="1:81" x14ac:dyDescent="0.25">
      <c r="A34" s="71">
        <f t="shared" si="10"/>
        <v>31</v>
      </c>
      <c r="B34" s="69" t="s">
        <v>95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37">
        <f t="shared" si="2"/>
        <v>0</v>
      </c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7">
        <f t="shared" si="3"/>
        <v>0</v>
      </c>
      <c r="AH34" s="61"/>
      <c r="AI34" s="4"/>
      <c r="AJ34" s="63"/>
      <c r="AK34" s="79">
        <v>35124.400000000001</v>
      </c>
      <c r="AL34" s="61"/>
      <c r="AM34" s="34"/>
      <c r="AN34" s="4"/>
      <c r="AO34" s="4"/>
      <c r="AP34" s="35">
        <f t="shared" si="4"/>
        <v>35124.400000000001</v>
      </c>
      <c r="AQ34" s="3"/>
      <c r="AR34" s="3"/>
      <c r="AS34" s="3"/>
      <c r="AT34" s="3"/>
      <c r="AU34" s="3"/>
      <c r="AV34" s="3"/>
      <c r="AW34" s="3"/>
      <c r="AX34" s="3"/>
      <c r="AY34" s="3"/>
      <c r="AZ34" s="35">
        <f t="shared" si="18"/>
        <v>0</v>
      </c>
      <c r="BA34" s="35"/>
      <c r="BB34" s="35"/>
      <c r="BC34" s="35"/>
      <c r="BD34" s="35"/>
      <c r="BE34" s="75"/>
      <c r="BF34" s="75"/>
      <c r="BG34" s="75"/>
      <c r="BH34" s="75"/>
      <c r="BI34" s="75"/>
      <c r="BJ34" s="37"/>
      <c r="BK34" s="42">
        <f t="shared" si="5"/>
        <v>35124.400000000001</v>
      </c>
      <c r="BL34" s="17">
        <v>0</v>
      </c>
      <c r="BM34" s="26">
        <f>+$BL$34*BM2</f>
        <v>0</v>
      </c>
      <c r="BN34" s="26">
        <f t="shared" ref="BN34:BW34" si="38">+$BL$34*BN2</f>
        <v>0</v>
      </c>
      <c r="BO34" s="26">
        <f t="shared" si="38"/>
        <v>0</v>
      </c>
      <c r="BP34" s="26">
        <f t="shared" si="38"/>
        <v>0</v>
      </c>
      <c r="BQ34" s="26">
        <f t="shared" si="38"/>
        <v>0</v>
      </c>
      <c r="BR34" s="26">
        <f t="shared" si="38"/>
        <v>0</v>
      </c>
      <c r="BS34" s="26">
        <f t="shared" si="38"/>
        <v>0</v>
      </c>
      <c r="BT34" s="26">
        <f t="shared" si="38"/>
        <v>0</v>
      </c>
      <c r="BU34" s="26">
        <f t="shared" si="38"/>
        <v>0</v>
      </c>
      <c r="BV34" s="26">
        <f t="shared" si="38"/>
        <v>0</v>
      </c>
      <c r="BW34" s="26">
        <f t="shared" si="38"/>
        <v>0</v>
      </c>
      <c r="BX34" s="38">
        <f t="shared" si="7"/>
        <v>0</v>
      </c>
      <c r="BY34" s="29">
        <f t="shared" si="8"/>
        <v>35124.400000000001</v>
      </c>
      <c r="CA34" s="86">
        <f t="shared" si="9"/>
        <v>0</v>
      </c>
    </row>
    <row r="35" spans="1:81" x14ac:dyDescent="0.25">
      <c r="A35" s="71">
        <f t="shared" si="10"/>
        <v>32</v>
      </c>
      <c r="B35" s="12" t="s">
        <v>60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37">
        <f t="shared" si="2"/>
        <v>0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7">
        <f t="shared" si="3"/>
        <v>0</v>
      </c>
      <c r="AH35" s="61"/>
      <c r="AI35" s="4"/>
      <c r="AJ35" s="63"/>
      <c r="AK35" s="63"/>
      <c r="AL35" s="61"/>
      <c r="AM35" s="34"/>
      <c r="AN35" s="4"/>
      <c r="AO35" s="4"/>
      <c r="AP35" s="35">
        <f t="shared" si="4"/>
        <v>0</v>
      </c>
      <c r="AQ35" s="4"/>
      <c r="AR35" s="4"/>
      <c r="AS35" s="4"/>
      <c r="AT35" s="4"/>
      <c r="AU35" s="4">
        <v>35551.61</v>
      </c>
      <c r="AV35" s="4"/>
      <c r="AW35" s="4"/>
      <c r="AX35" s="4"/>
      <c r="AY35" s="4"/>
      <c r="AZ35" s="35">
        <f t="shared" si="18"/>
        <v>35551.61</v>
      </c>
      <c r="BA35" s="35"/>
      <c r="BB35" s="35"/>
      <c r="BC35" s="35"/>
      <c r="BD35" s="35"/>
      <c r="BE35" s="75"/>
      <c r="BF35" s="75"/>
      <c r="BG35" s="75"/>
      <c r="BH35" s="75"/>
      <c r="BI35" s="75"/>
      <c r="BJ35" s="37"/>
      <c r="BK35" s="19">
        <f t="shared" si="5"/>
        <v>35551.61</v>
      </c>
      <c r="BL35" s="16">
        <v>30.180900000000001</v>
      </c>
      <c r="BM35" s="4">
        <f>+$BL$35*BM2</f>
        <v>2414.4720000000002</v>
      </c>
      <c r="BN35" s="4">
        <f t="shared" ref="BN35:BW35" si="39">+$BL$35*BN2</f>
        <v>2414.4720000000002</v>
      </c>
      <c r="BO35" s="4">
        <f t="shared" si="39"/>
        <v>2414.4720000000002</v>
      </c>
      <c r="BP35" s="4">
        <f t="shared" si="39"/>
        <v>2414.4720000000002</v>
      </c>
      <c r="BQ35" s="4">
        <f t="shared" si="39"/>
        <v>2414.4720000000002</v>
      </c>
      <c r="BR35" s="4">
        <f t="shared" si="39"/>
        <v>2414.4720000000002</v>
      </c>
      <c r="BS35" s="4">
        <f t="shared" si="39"/>
        <v>2414.4720000000002</v>
      </c>
      <c r="BT35" s="4">
        <f t="shared" si="39"/>
        <v>2414.4720000000002</v>
      </c>
      <c r="BU35" s="4">
        <f t="shared" si="39"/>
        <v>2414.4720000000002</v>
      </c>
      <c r="BV35" s="4">
        <f t="shared" si="39"/>
        <v>2414.4720000000002</v>
      </c>
      <c r="BW35" s="4">
        <f t="shared" si="39"/>
        <v>1690.1304</v>
      </c>
      <c r="BX35" s="4">
        <f t="shared" si="7"/>
        <v>25834.850400000003</v>
      </c>
      <c r="BY35" s="27">
        <f t="shared" si="8"/>
        <v>9716.7595999999976</v>
      </c>
      <c r="CA35" s="86">
        <f t="shared" si="9"/>
        <v>62776.272000000004</v>
      </c>
    </row>
    <row r="36" spans="1:81" x14ac:dyDescent="0.25">
      <c r="A36" s="71">
        <f t="shared" si="10"/>
        <v>33</v>
      </c>
      <c r="B36" s="12" t="s">
        <v>52</v>
      </c>
      <c r="C36" s="48"/>
      <c r="D36" s="48"/>
      <c r="E36" s="48"/>
      <c r="F36" s="48">
        <v>15000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37">
        <f t="shared" si="2"/>
        <v>15000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7">
        <f t="shared" si="3"/>
        <v>0</v>
      </c>
      <c r="AH36" s="61"/>
      <c r="AI36" s="4"/>
      <c r="AJ36" s="63"/>
      <c r="AK36" s="63"/>
      <c r="AL36" s="61"/>
      <c r="AM36" s="34"/>
      <c r="AN36" s="4"/>
      <c r="AO36" s="4"/>
      <c r="AP36" s="35">
        <f t="shared" si="4"/>
        <v>0</v>
      </c>
      <c r="AQ36" s="4"/>
      <c r="AR36" s="4"/>
      <c r="AS36" s="4"/>
      <c r="AT36" s="4"/>
      <c r="AU36" s="4"/>
      <c r="AV36" s="4"/>
      <c r="AW36" s="4"/>
      <c r="AX36" s="4"/>
      <c r="AY36" s="4"/>
      <c r="AZ36" s="35">
        <f t="shared" si="18"/>
        <v>0</v>
      </c>
      <c r="BA36" s="35"/>
      <c r="BB36" s="35"/>
      <c r="BC36" s="35">
        <v>909.34</v>
      </c>
      <c r="BD36" s="73">
        <v>4182.99</v>
      </c>
      <c r="BE36" s="75"/>
      <c r="BF36" s="75"/>
      <c r="BG36" s="75"/>
      <c r="BH36" s="75">
        <f>441.86+6000</f>
        <v>6441.86</v>
      </c>
      <c r="BI36" s="75">
        <v>0</v>
      </c>
      <c r="BJ36" s="37"/>
      <c r="BK36" s="19">
        <f t="shared" si="5"/>
        <v>26534.19</v>
      </c>
      <c r="BL36" s="16">
        <v>28.417100000000001</v>
      </c>
      <c r="BM36" s="4">
        <f>+$BL$36*BM2</f>
        <v>2273.3679999999999</v>
      </c>
      <c r="BN36" s="4">
        <f>+$BL$36*BN2</f>
        <v>2273.3679999999999</v>
      </c>
      <c r="BO36" s="4">
        <f>+$BL$36*BO2</f>
        <v>2273.3679999999999</v>
      </c>
      <c r="BP36" s="4">
        <f>+$BL$36*BP2</f>
        <v>2273.3679999999999</v>
      </c>
      <c r="BQ36" s="34">
        <f t="shared" ref="BQ36:BW36" si="40">+BP36</f>
        <v>2273.3679999999999</v>
      </c>
      <c r="BR36" s="34">
        <f t="shared" si="40"/>
        <v>2273.3679999999999</v>
      </c>
      <c r="BS36" s="34">
        <f t="shared" si="40"/>
        <v>2273.3679999999999</v>
      </c>
      <c r="BT36" s="34">
        <f t="shared" si="40"/>
        <v>2273.3679999999999</v>
      </c>
      <c r="BU36" s="34">
        <f t="shared" si="40"/>
        <v>2273.3679999999999</v>
      </c>
      <c r="BV36" s="34">
        <f t="shared" si="40"/>
        <v>2273.3679999999999</v>
      </c>
      <c r="BW36" s="34">
        <f t="shared" si="40"/>
        <v>2273.3679999999999</v>
      </c>
      <c r="BX36" s="4">
        <f t="shared" si="7"/>
        <v>25007.047999999995</v>
      </c>
      <c r="BY36" s="27">
        <f t="shared" si="8"/>
        <v>1527.1420000000035</v>
      </c>
      <c r="CA36" s="86">
        <f t="shared" si="9"/>
        <v>59107.567999999999</v>
      </c>
    </row>
    <row r="37" spans="1:81" x14ac:dyDescent="0.25">
      <c r="A37" s="71">
        <f t="shared" si="10"/>
        <v>34</v>
      </c>
      <c r="B37" s="12" t="s">
        <v>49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37">
        <f t="shared" si="2"/>
        <v>0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7">
        <f t="shared" si="3"/>
        <v>0</v>
      </c>
      <c r="AH37" s="61"/>
      <c r="AI37" s="4"/>
      <c r="AJ37" s="63"/>
      <c r="AK37" s="63"/>
      <c r="AL37" s="61"/>
      <c r="AM37" s="34"/>
      <c r="AN37" s="4"/>
      <c r="AO37" s="4"/>
      <c r="AP37" s="35">
        <f t="shared" si="4"/>
        <v>0</v>
      </c>
      <c r="AQ37" s="4"/>
      <c r="AR37" s="4"/>
      <c r="AS37" s="4"/>
      <c r="AT37" s="4"/>
      <c r="AU37" s="4"/>
      <c r="AV37" s="4"/>
      <c r="AW37" s="4"/>
      <c r="AX37" s="4"/>
      <c r="AY37" s="4"/>
      <c r="AZ37" s="35">
        <f t="shared" si="18"/>
        <v>0</v>
      </c>
      <c r="BA37" s="35"/>
      <c r="BB37" s="35"/>
      <c r="BC37" s="35"/>
      <c r="BD37" s="35"/>
      <c r="BE37" s="75">
        <f>4031+1536+1386.62+2849.53</f>
        <v>9803.15</v>
      </c>
      <c r="BF37" s="75"/>
      <c r="BG37" s="75"/>
      <c r="BH37" s="75"/>
      <c r="BI37" s="75"/>
      <c r="BJ37" s="37"/>
      <c r="BK37" s="19">
        <f t="shared" si="5"/>
        <v>9803.15</v>
      </c>
      <c r="BL37" s="16">
        <v>24</v>
      </c>
      <c r="BM37" s="4">
        <f>+$BL$37*56</f>
        <v>1344</v>
      </c>
      <c r="BN37" s="4">
        <f t="shared" ref="BN37:BS37" si="41">+BM37</f>
        <v>1344</v>
      </c>
      <c r="BO37" s="4">
        <f t="shared" si="41"/>
        <v>1344</v>
      </c>
      <c r="BP37" s="4">
        <f t="shared" si="41"/>
        <v>1344</v>
      </c>
      <c r="BQ37" s="4">
        <f t="shared" si="41"/>
        <v>1344</v>
      </c>
      <c r="BR37" s="4">
        <f t="shared" si="41"/>
        <v>1344</v>
      </c>
      <c r="BS37" s="4">
        <f t="shared" si="41"/>
        <v>1344</v>
      </c>
      <c r="BT37" s="38">
        <v>395.15</v>
      </c>
      <c r="BU37" s="38">
        <v>0</v>
      </c>
      <c r="BV37" s="38">
        <v>0</v>
      </c>
      <c r="BW37" s="38">
        <v>0</v>
      </c>
      <c r="BX37" s="4">
        <f t="shared" si="7"/>
        <v>9803.15</v>
      </c>
      <c r="BY37" s="27">
        <f t="shared" si="8"/>
        <v>0</v>
      </c>
      <c r="CA37" s="86">
        <f t="shared" si="9"/>
        <v>49920</v>
      </c>
    </row>
    <row r="38" spans="1:81" x14ac:dyDescent="0.25">
      <c r="A38" s="71">
        <f t="shared" si="10"/>
        <v>35</v>
      </c>
      <c r="B38" s="12" t="s">
        <v>64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37">
        <f t="shared" si="2"/>
        <v>0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7">
        <f t="shared" si="3"/>
        <v>0</v>
      </c>
      <c r="AH38" s="61"/>
      <c r="AI38" s="4"/>
      <c r="AJ38" s="63"/>
      <c r="AK38" s="63"/>
      <c r="AL38" s="61"/>
      <c r="AM38" s="34"/>
      <c r="AN38" s="4"/>
      <c r="AO38" s="4"/>
      <c r="AP38" s="35">
        <f t="shared" si="4"/>
        <v>0</v>
      </c>
      <c r="AQ38" s="4"/>
      <c r="AR38" s="4"/>
      <c r="AS38" s="4"/>
      <c r="AT38" s="4"/>
      <c r="AU38" s="4"/>
      <c r="AV38" s="4"/>
      <c r="AW38" s="4"/>
      <c r="AX38" s="4"/>
      <c r="AY38" s="4">
        <v>43861.32</v>
      </c>
      <c r="AZ38" s="35">
        <f t="shared" si="18"/>
        <v>43861.32</v>
      </c>
      <c r="BA38" s="35"/>
      <c r="BB38" s="35"/>
      <c r="BC38" s="35"/>
      <c r="BD38" s="35"/>
      <c r="BE38" s="75"/>
      <c r="BF38" s="75"/>
      <c r="BG38" s="75"/>
      <c r="BH38" s="75"/>
      <c r="BI38" s="75"/>
      <c r="BJ38" s="37"/>
      <c r="BK38" s="19">
        <f t="shared" si="5"/>
        <v>43861.32</v>
      </c>
      <c r="BL38" s="16">
        <v>27.777100000000001</v>
      </c>
      <c r="BM38" s="4">
        <f>+$BL$38*BM2</f>
        <v>2222.1680000000001</v>
      </c>
      <c r="BN38" s="4">
        <f t="shared" ref="BN38:BW38" si="42">+$BL$38*BN2</f>
        <v>2222.1680000000001</v>
      </c>
      <c r="BO38" s="4">
        <f t="shared" si="42"/>
        <v>2222.1680000000001</v>
      </c>
      <c r="BP38" s="4">
        <f t="shared" si="42"/>
        <v>2222.1680000000001</v>
      </c>
      <c r="BQ38" s="4">
        <f t="shared" si="42"/>
        <v>2222.1680000000001</v>
      </c>
      <c r="BR38" s="4">
        <f t="shared" si="42"/>
        <v>2222.1680000000001</v>
      </c>
      <c r="BS38" s="4">
        <f t="shared" si="42"/>
        <v>2222.1680000000001</v>
      </c>
      <c r="BT38" s="4">
        <f t="shared" si="42"/>
        <v>2222.1680000000001</v>
      </c>
      <c r="BU38" s="4">
        <f t="shared" si="42"/>
        <v>2222.1680000000001</v>
      </c>
      <c r="BV38" s="4">
        <f t="shared" si="42"/>
        <v>2222.1680000000001</v>
      </c>
      <c r="BW38" s="4">
        <f t="shared" si="42"/>
        <v>1555.5176000000001</v>
      </c>
      <c r="BX38" s="4">
        <f t="shared" si="7"/>
        <v>23777.197600000003</v>
      </c>
      <c r="BY38" s="27">
        <f t="shared" si="8"/>
        <v>20084.122399999997</v>
      </c>
      <c r="CA38" s="86">
        <f t="shared" si="9"/>
        <v>57776.368000000002</v>
      </c>
    </row>
    <row r="39" spans="1:81" x14ac:dyDescent="0.25">
      <c r="A39" s="71">
        <v>36</v>
      </c>
      <c r="B39" s="69" t="s">
        <v>96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>
        <v>16195.95</v>
      </c>
      <c r="Q39" s="37">
        <f t="shared" si="2"/>
        <v>16195.95</v>
      </c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37">
        <f t="shared" si="3"/>
        <v>0</v>
      </c>
      <c r="AH39" s="64"/>
      <c r="AI39" s="5"/>
      <c r="AJ39" s="78"/>
      <c r="AK39" s="78"/>
      <c r="AL39" s="64"/>
      <c r="AM39" s="47"/>
      <c r="AN39" s="5"/>
      <c r="AO39" s="5"/>
      <c r="AP39" s="35"/>
      <c r="AQ39" s="4"/>
      <c r="AR39" s="4"/>
      <c r="AS39" s="4"/>
      <c r="AT39" s="4"/>
      <c r="AU39" s="4"/>
      <c r="AV39" s="4"/>
      <c r="AW39" s="4"/>
      <c r="AX39" s="4"/>
      <c r="AY39" s="4"/>
      <c r="AZ39" s="35"/>
      <c r="BA39" s="35"/>
      <c r="BB39" s="35"/>
      <c r="BC39" s="35"/>
      <c r="BD39" s="35"/>
      <c r="BE39" s="75"/>
      <c r="BF39" s="75"/>
      <c r="BG39" s="75"/>
      <c r="BH39" s="75"/>
      <c r="BI39" s="75"/>
      <c r="BJ39" s="37"/>
      <c r="BK39" s="42">
        <f t="shared" si="5"/>
        <v>16195.95</v>
      </c>
      <c r="BL39" s="16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60"/>
      <c r="BY39" s="28">
        <f t="shared" si="8"/>
        <v>16195.95</v>
      </c>
      <c r="CA39" s="86">
        <f t="shared" si="9"/>
        <v>0</v>
      </c>
    </row>
    <row r="40" spans="1:81" x14ac:dyDescent="0.25">
      <c r="A40" s="71">
        <v>37</v>
      </c>
      <c r="B40" s="12" t="s">
        <v>63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37">
        <f t="shared" si="2"/>
        <v>0</v>
      </c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37">
        <f t="shared" si="3"/>
        <v>0</v>
      </c>
      <c r="AH40" s="64"/>
      <c r="AI40" s="5"/>
      <c r="AJ40" s="78"/>
      <c r="AK40" s="78"/>
      <c r="AL40" s="64"/>
      <c r="AM40" s="47"/>
      <c r="AN40" s="5"/>
      <c r="AO40" s="5"/>
      <c r="AP40" s="35">
        <f t="shared" si="4"/>
        <v>0</v>
      </c>
      <c r="AQ40" s="4"/>
      <c r="AR40" s="4"/>
      <c r="AS40" s="4"/>
      <c r="AT40" s="4">
        <v>0</v>
      </c>
      <c r="AU40" s="4"/>
      <c r="AV40" s="4"/>
      <c r="AW40" s="4"/>
      <c r="AX40" s="4">
        <v>20605.759999999998</v>
      </c>
      <c r="AY40" s="4"/>
      <c r="AZ40" s="35">
        <f t="shared" si="18"/>
        <v>20605.759999999998</v>
      </c>
      <c r="BA40" s="35"/>
      <c r="BB40" s="35"/>
      <c r="BC40" s="35"/>
      <c r="BD40" s="73">
        <v>6250</v>
      </c>
      <c r="BE40" s="75"/>
      <c r="BF40" s="75"/>
      <c r="BG40" s="75"/>
      <c r="BH40" s="75"/>
      <c r="BI40" s="75"/>
      <c r="BJ40" s="37"/>
      <c r="BK40" s="19">
        <f t="shared" si="5"/>
        <v>26855.759999999998</v>
      </c>
      <c r="BL40" s="16">
        <v>24.038499999999999</v>
      </c>
      <c r="BM40" s="4">
        <f>+$BL$40*BM2</f>
        <v>1923.08</v>
      </c>
      <c r="BN40" s="4">
        <f t="shared" ref="BN40:BW40" si="43">+$BL$40*BN2</f>
        <v>1923.08</v>
      </c>
      <c r="BO40" s="4">
        <f t="shared" si="43"/>
        <v>1923.08</v>
      </c>
      <c r="BP40" s="4">
        <f t="shared" si="43"/>
        <v>1923.08</v>
      </c>
      <c r="BQ40" s="4">
        <f t="shared" si="43"/>
        <v>1923.08</v>
      </c>
      <c r="BR40" s="4">
        <f t="shared" si="43"/>
        <v>1923.08</v>
      </c>
      <c r="BS40" s="4">
        <f t="shared" si="43"/>
        <v>1923.08</v>
      </c>
      <c r="BT40" s="4">
        <f t="shared" si="43"/>
        <v>1923.08</v>
      </c>
      <c r="BU40" s="4">
        <f t="shared" si="43"/>
        <v>1923.08</v>
      </c>
      <c r="BV40" s="4">
        <f t="shared" si="43"/>
        <v>1923.08</v>
      </c>
      <c r="BW40" s="4">
        <f t="shared" si="43"/>
        <v>1346.1559999999999</v>
      </c>
      <c r="BX40" s="4">
        <f t="shared" si="7"/>
        <v>20576.956000000002</v>
      </c>
      <c r="BY40" s="27">
        <f t="shared" si="8"/>
        <v>6278.8039999999964</v>
      </c>
      <c r="CA40" s="86">
        <f t="shared" si="9"/>
        <v>50000.08</v>
      </c>
    </row>
    <row r="41" spans="1:81" x14ac:dyDescent="0.25">
      <c r="A41" s="71">
        <f t="shared" si="10"/>
        <v>38</v>
      </c>
      <c r="B41" s="12" t="s">
        <v>67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37">
        <f t="shared" si="2"/>
        <v>0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7">
        <f t="shared" si="3"/>
        <v>0</v>
      </c>
      <c r="AH41" s="61">
        <v>25057.65</v>
      </c>
      <c r="AI41" s="4"/>
      <c r="AJ41" s="63"/>
      <c r="AK41" s="63"/>
      <c r="AL41" s="61"/>
      <c r="AM41" s="34"/>
      <c r="AN41" s="4"/>
      <c r="AO41" s="4"/>
      <c r="AP41" s="35">
        <f t="shared" si="4"/>
        <v>25057.65</v>
      </c>
      <c r="AQ41" s="4"/>
      <c r="AR41" s="4"/>
      <c r="AS41" s="4"/>
      <c r="AT41" s="4"/>
      <c r="AU41" s="4"/>
      <c r="AV41" s="4"/>
      <c r="AW41" s="4"/>
      <c r="AX41" s="4"/>
      <c r="AY41" s="4"/>
      <c r="AZ41" s="35">
        <f t="shared" si="18"/>
        <v>0</v>
      </c>
      <c r="BA41" s="35"/>
      <c r="BB41" s="35"/>
      <c r="BC41" s="35"/>
      <c r="BD41" s="35"/>
      <c r="BE41" s="75"/>
      <c r="BF41" s="75"/>
      <c r="BG41" s="75"/>
      <c r="BH41" s="75"/>
      <c r="BI41" s="75"/>
      <c r="BJ41" s="37"/>
      <c r="BK41" s="19">
        <f t="shared" si="5"/>
        <v>25057.65</v>
      </c>
      <c r="BL41" s="16">
        <v>24.038499999999999</v>
      </c>
      <c r="BM41" s="4">
        <f>$BL$41*BM2</f>
        <v>1923.08</v>
      </c>
      <c r="BN41" s="4">
        <f t="shared" ref="BN41:BW41" si="44">$BL$41*BN2</f>
        <v>1923.08</v>
      </c>
      <c r="BO41" s="4">
        <f t="shared" si="44"/>
        <v>1923.08</v>
      </c>
      <c r="BP41" s="4">
        <f t="shared" si="44"/>
        <v>1923.08</v>
      </c>
      <c r="BQ41" s="4">
        <f t="shared" si="44"/>
        <v>1923.08</v>
      </c>
      <c r="BR41" s="4">
        <f t="shared" si="44"/>
        <v>1923.08</v>
      </c>
      <c r="BS41" s="4">
        <f t="shared" si="44"/>
        <v>1923.08</v>
      </c>
      <c r="BT41" s="4">
        <f t="shared" si="44"/>
        <v>1923.08</v>
      </c>
      <c r="BU41" s="4">
        <f t="shared" si="44"/>
        <v>1923.08</v>
      </c>
      <c r="BV41" s="4">
        <f t="shared" si="44"/>
        <v>1923.08</v>
      </c>
      <c r="BW41" s="4">
        <f t="shared" si="44"/>
        <v>1346.1559999999999</v>
      </c>
      <c r="BX41" s="4">
        <f t="shared" si="7"/>
        <v>20576.956000000002</v>
      </c>
      <c r="BY41" s="27">
        <f t="shared" si="8"/>
        <v>4480.6939999999995</v>
      </c>
      <c r="CA41" s="86">
        <f t="shared" si="9"/>
        <v>50000.08</v>
      </c>
    </row>
    <row r="42" spans="1:81" x14ac:dyDescent="0.25">
      <c r="A42" s="71">
        <f t="shared" si="10"/>
        <v>39</v>
      </c>
      <c r="B42" s="12" t="s">
        <v>79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37">
        <f t="shared" si="2"/>
        <v>0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>
        <v>23296.19</v>
      </c>
      <c r="AE42" s="34"/>
      <c r="AF42" s="34"/>
      <c r="AG42" s="37">
        <f t="shared" si="3"/>
        <v>23296.19</v>
      </c>
      <c r="AH42" s="61"/>
      <c r="AI42" s="4"/>
      <c r="AJ42" s="63"/>
      <c r="AK42" s="63"/>
      <c r="AL42" s="61"/>
      <c r="AM42" s="34"/>
      <c r="AN42" s="4"/>
      <c r="AO42" s="4">
        <v>38871.339999999997</v>
      </c>
      <c r="AP42" s="35">
        <f t="shared" si="4"/>
        <v>38871.339999999997</v>
      </c>
      <c r="AQ42" s="4"/>
      <c r="AR42" s="4"/>
      <c r="AS42" s="4"/>
      <c r="AT42" s="4"/>
      <c r="AU42" s="4"/>
      <c r="AV42" s="4"/>
      <c r="AW42" s="4"/>
      <c r="AX42" s="4"/>
      <c r="AY42" s="4"/>
      <c r="AZ42" s="35">
        <f t="shared" si="18"/>
        <v>0</v>
      </c>
      <c r="BA42" s="35"/>
      <c r="BB42" s="35"/>
      <c r="BC42" s="35"/>
      <c r="BD42" s="35"/>
      <c r="BE42" s="75"/>
      <c r="BF42" s="75"/>
      <c r="BG42" s="75"/>
      <c r="BH42" s="75"/>
      <c r="BI42" s="75"/>
      <c r="BJ42" s="37"/>
      <c r="BK42" s="19">
        <f t="shared" si="5"/>
        <v>62167.53</v>
      </c>
      <c r="BL42" s="16">
        <v>25.600999999999999</v>
      </c>
      <c r="BM42" s="4">
        <f>$BL$42*BM2</f>
        <v>2048.08</v>
      </c>
      <c r="BN42" s="4">
        <f t="shared" ref="BN42:BW42" si="45">$BL$42*BN2</f>
        <v>2048.08</v>
      </c>
      <c r="BO42" s="4">
        <f t="shared" si="45"/>
        <v>2048.08</v>
      </c>
      <c r="BP42" s="4">
        <f t="shared" si="45"/>
        <v>2048.08</v>
      </c>
      <c r="BQ42" s="4">
        <f t="shared" si="45"/>
        <v>2048.08</v>
      </c>
      <c r="BR42" s="4">
        <f t="shared" si="45"/>
        <v>2048.08</v>
      </c>
      <c r="BS42" s="4">
        <f t="shared" si="45"/>
        <v>2048.08</v>
      </c>
      <c r="BT42" s="4">
        <f t="shared" si="45"/>
        <v>2048.08</v>
      </c>
      <c r="BU42" s="4">
        <f t="shared" si="45"/>
        <v>2048.08</v>
      </c>
      <c r="BV42" s="4">
        <f t="shared" si="45"/>
        <v>2048.08</v>
      </c>
      <c r="BW42" s="4">
        <f t="shared" si="45"/>
        <v>1433.6559999999999</v>
      </c>
      <c r="BX42" s="4">
        <f t="shared" si="7"/>
        <v>21914.456000000002</v>
      </c>
      <c r="BY42" s="58">
        <f t="shared" si="8"/>
        <v>40253.073999999993</v>
      </c>
      <c r="CA42" s="86">
        <f t="shared" si="9"/>
        <v>53250.080000000002</v>
      </c>
      <c r="CB42" t="s">
        <v>12</v>
      </c>
      <c r="CC42" t="s">
        <v>12</v>
      </c>
    </row>
    <row r="43" spans="1:81" x14ac:dyDescent="0.25">
      <c r="A43" s="71">
        <f t="shared" si="10"/>
        <v>40</v>
      </c>
      <c r="B43" s="67" t="s">
        <v>101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37">
        <f t="shared" si="2"/>
        <v>0</v>
      </c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7">
        <f t="shared" si="3"/>
        <v>0</v>
      </c>
      <c r="AH43" s="61"/>
      <c r="AI43" s="4"/>
      <c r="AJ43" s="63"/>
      <c r="AK43" s="63"/>
      <c r="AL43" s="61"/>
      <c r="AM43" s="34"/>
      <c r="AN43" s="4"/>
      <c r="AO43" s="4"/>
      <c r="AP43" s="35">
        <f t="shared" si="4"/>
        <v>0</v>
      </c>
      <c r="AQ43" s="4"/>
      <c r="AR43" s="4"/>
      <c r="AS43" s="4"/>
      <c r="AT43" s="33">
        <f>28465.98-11400</f>
        <v>17065.98</v>
      </c>
      <c r="AU43" s="4"/>
      <c r="AV43" s="4"/>
      <c r="AW43" s="4"/>
      <c r="AX43" s="4"/>
      <c r="AY43" s="4"/>
      <c r="AZ43" s="35">
        <f t="shared" si="18"/>
        <v>17065.98</v>
      </c>
      <c r="BA43" s="35"/>
      <c r="BB43" s="35"/>
      <c r="BC43" s="35"/>
      <c r="BD43" s="73">
        <v>3750</v>
      </c>
      <c r="BE43" s="75"/>
      <c r="BF43" s="75"/>
      <c r="BG43" s="75"/>
      <c r="BH43" s="75"/>
      <c r="BI43" s="75"/>
      <c r="BJ43" s="37"/>
      <c r="BK43" s="19">
        <f t="shared" si="5"/>
        <v>20815.98</v>
      </c>
      <c r="BL43" s="16">
        <v>24.038499999999999</v>
      </c>
      <c r="BM43" s="34">
        <v>0</v>
      </c>
      <c r="BN43" s="34">
        <v>0</v>
      </c>
      <c r="BO43" s="34">
        <f t="shared" ref="BO43:BV43" si="46">$BL$43*BO2</f>
        <v>1923.08</v>
      </c>
      <c r="BP43" s="34">
        <f t="shared" si="46"/>
        <v>1923.08</v>
      </c>
      <c r="BQ43" s="34">
        <f t="shared" si="46"/>
        <v>1923.08</v>
      </c>
      <c r="BR43" s="34">
        <f t="shared" si="46"/>
        <v>1923.08</v>
      </c>
      <c r="BS43" s="34">
        <f t="shared" si="46"/>
        <v>1923.08</v>
      </c>
      <c r="BT43" s="34">
        <f t="shared" si="46"/>
        <v>1923.08</v>
      </c>
      <c r="BU43" s="34">
        <f t="shared" si="46"/>
        <v>1923.08</v>
      </c>
      <c r="BV43" s="34">
        <f t="shared" si="46"/>
        <v>1923.08</v>
      </c>
      <c r="BW43" s="34">
        <v>0</v>
      </c>
      <c r="BX43" s="34">
        <f>SUM(BM43:BW43)</f>
        <v>15384.64</v>
      </c>
      <c r="BY43" s="45">
        <f>+BK43-BX43</f>
        <v>5431.34</v>
      </c>
      <c r="CA43" s="86">
        <f t="shared" si="9"/>
        <v>50000.08</v>
      </c>
    </row>
    <row r="44" spans="1:81" x14ac:dyDescent="0.25">
      <c r="A44" s="71"/>
      <c r="B44" s="69" t="s">
        <v>107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37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7"/>
      <c r="AH44" s="61"/>
      <c r="AI44" s="4"/>
      <c r="AJ44" s="63"/>
      <c r="AK44" s="63"/>
      <c r="AL44" s="61"/>
      <c r="AM44" s="34"/>
      <c r="AN44" s="4"/>
      <c r="AO44" s="4"/>
      <c r="AP44" s="35"/>
      <c r="AQ44" s="4"/>
      <c r="AR44" s="4"/>
      <c r="AS44" s="4"/>
      <c r="AT44" s="33">
        <v>11400</v>
      </c>
      <c r="AU44" s="4"/>
      <c r="AV44" s="4"/>
      <c r="AW44" s="4"/>
      <c r="AX44" s="4"/>
      <c r="AY44" s="4"/>
      <c r="AZ44" s="35">
        <f t="shared" si="18"/>
        <v>11400</v>
      </c>
      <c r="BA44" s="35"/>
      <c r="BB44" s="35"/>
      <c r="BC44" s="35"/>
      <c r="BD44" s="73">
        <v>3813.23</v>
      </c>
      <c r="BE44" s="75"/>
      <c r="BF44" s="75"/>
      <c r="BG44" s="75"/>
      <c r="BH44" s="75"/>
      <c r="BI44" s="75"/>
      <c r="BJ44" s="37"/>
      <c r="BK44" s="19">
        <f>+Q44+AP44+AZ44+BE44+BH44+BI44+BJ44+BG44+AG44+BF44+BA44+BD44+BB44+BC44</f>
        <v>15213.23</v>
      </c>
      <c r="BL44" s="16">
        <v>0</v>
      </c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29">
        <f>+BK44-BX44</f>
        <v>15213.23</v>
      </c>
      <c r="CA44" s="86">
        <f t="shared" si="9"/>
        <v>0</v>
      </c>
    </row>
    <row r="45" spans="1:81" x14ac:dyDescent="0.25">
      <c r="A45" s="71">
        <f>+A43+1</f>
        <v>41</v>
      </c>
      <c r="B45" s="12" t="s">
        <v>78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37">
        <f t="shared" si="2"/>
        <v>0</v>
      </c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7">
        <f t="shared" si="3"/>
        <v>0</v>
      </c>
      <c r="AH45" s="61"/>
      <c r="AI45" s="4"/>
      <c r="AJ45" s="63"/>
      <c r="AK45" s="63"/>
      <c r="AL45" s="61"/>
      <c r="AM45" s="34"/>
      <c r="AN45" s="4"/>
      <c r="AO45" s="4">
        <v>32615.279999999999</v>
      </c>
      <c r="AP45" s="35">
        <f t="shared" si="4"/>
        <v>32615.279999999999</v>
      </c>
      <c r="AQ45" s="4"/>
      <c r="AR45" s="4"/>
      <c r="AS45" s="4"/>
      <c r="AT45" s="4"/>
      <c r="AU45" s="4"/>
      <c r="AV45" s="4"/>
      <c r="AW45" s="4"/>
      <c r="AX45" s="4"/>
      <c r="AY45" s="4"/>
      <c r="AZ45" s="35">
        <f t="shared" si="18"/>
        <v>0</v>
      </c>
      <c r="BA45" s="35"/>
      <c r="BB45" s="35"/>
      <c r="BC45" s="35"/>
      <c r="BD45" s="35"/>
      <c r="BE45" s="75"/>
      <c r="BF45" s="75"/>
      <c r="BG45" s="75"/>
      <c r="BH45" s="75"/>
      <c r="BI45" s="75"/>
      <c r="BJ45" s="37"/>
      <c r="BK45" s="19">
        <f t="shared" si="5"/>
        <v>32615.279999999999</v>
      </c>
      <c r="BL45" s="16">
        <v>24.038499999999999</v>
      </c>
      <c r="BM45" s="4">
        <f t="shared" ref="BM45:BW45" si="47">+$BL$45*BM2</f>
        <v>1923.08</v>
      </c>
      <c r="BN45" s="4">
        <f t="shared" si="47"/>
        <v>1923.08</v>
      </c>
      <c r="BO45" s="4">
        <f t="shared" si="47"/>
        <v>1923.08</v>
      </c>
      <c r="BP45" s="4">
        <f t="shared" si="47"/>
        <v>1923.08</v>
      </c>
      <c r="BQ45" s="4">
        <f t="shared" si="47"/>
        <v>1923.08</v>
      </c>
      <c r="BR45" s="4">
        <f t="shared" si="47"/>
        <v>1923.08</v>
      </c>
      <c r="BS45" s="4">
        <f t="shared" si="47"/>
        <v>1923.08</v>
      </c>
      <c r="BT45" s="4">
        <f t="shared" si="47"/>
        <v>1923.08</v>
      </c>
      <c r="BU45" s="4">
        <f t="shared" si="47"/>
        <v>1923.08</v>
      </c>
      <c r="BV45" s="4">
        <f t="shared" si="47"/>
        <v>1923.08</v>
      </c>
      <c r="BW45" s="4">
        <f t="shared" si="47"/>
        <v>1346.1559999999999</v>
      </c>
      <c r="BX45" s="4">
        <f t="shared" si="7"/>
        <v>20576.956000000002</v>
      </c>
      <c r="BY45" s="27">
        <f t="shared" si="8"/>
        <v>12038.323999999997</v>
      </c>
      <c r="CA45" s="86">
        <f t="shared" si="9"/>
        <v>50000.08</v>
      </c>
    </row>
    <row r="46" spans="1:81" x14ac:dyDescent="0.25">
      <c r="A46" s="71">
        <f t="shared" si="10"/>
        <v>42</v>
      </c>
      <c r="B46" s="12" t="s">
        <v>61</v>
      </c>
      <c r="C46" s="48"/>
      <c r="D46" s="48"/>
      <c r="E46" s="48"/>
      <c r="F46" s="48"/>
      <c r="G46" s="48"/>
      <c r="H46" s="48">
        <f>11623.91+6500</f>
        <v>18123.91</v>
      </c>
      <c r="I46" s="48"/>
      <c r="J46" s="48"/>
      <c r="K46" s="48"/>
      <c r="L46" s="48"/>
      <c r="M46" s="48">
        <v>4050</v>
      </c>
      <c r="N46" s="48"/>
      <c r="O46" s="48"/>
      <c r="P46" s="48"/>
      <c r="Q46" s="37">
        <f t="shared" si="2"/>
        <v>22173.91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7">
        <f t="shared" si="3"/>
        <v>0</v>
      </c>
      <c r="AH46" s="61"/>
      <c r="AI46" s="4"/>
      <c r="AJ46" s="63"/>
      <c r="AK46" s="63"/>
      <c r="AL46" s="61"/>
      <c r="AM46" s="34"/>
      <c r="AN46" s="4"/>
      <c r="AO46" s="4"/>
      <c r="AP46" s="35">
        <f t="shared" si="4"/>
        <v>0</v>
      </c>
      <c r="AQ46" s="4"/>
      <c r="AR46" s="4"/>
      <c r="AS46" s="4"/>
      <c r="AT46" s="4"/>
      <c r="AU46" s="4"/>
      <c r="AV46" s="4"/>
      <c r="AW46" s="4"/>
      <c r="AX46" s="4"/>
      <c r="AY46" s="4"/>
      <c r="AZ46" s="35">
        <f t="shared" si="18"/>
        <v>0</v>
      </c>
      <c r="BA46" s="35"/>
      <c r="BB46" s="35">
        <v>1906.25</v>
      </c>
      <c r="BC46" s="35">
        <v>500</v>
      </c>
      <c r="BD46" s="73">
        <v>3851.29</v>
      </c>
      <c r="BE46" s="75"/>
      <c r="BF46" s="75"/>
      <c r="BG46" s="75"/>
      <c r="BH46" s="75"/>
      <c r="BI46" s="75"/>
      <c r="BJ46" s="37"/>
      <c r="BK46" s="19">
        <f t="shared" si="5"/>
        <v>28431.45</v>
      </c>
      <c r="BL46" s="16">
        <v>31.25</v>
      </c>
      <c r="BM46" s="4">
        <f>+$BL$46*BM2</f>
        <v>2500</v>
      </c>
      <c r="BN46" s="4">
        <f t="shared" ref="BN46:BW46" si="48">+$BL$46*BN2</f>
        <v>2500</v>
      </c>
      <c r="BO46" s="4">
        <f t="shared" si="48"/>
        <v>2500</v>
      </c>
      <c r="BP46" s="4">
        <f t="shared" si="48"/>
        <v>2500</v>
      </c>
      <c r="BQ46" s="4">
        <f t="shared" si="48"/>
        <v>2500</v>
      </c>
      <c r="BR46" s="4">
        <f t="shared" si="48"/>
        <v>2500</v>
      </c>
      <c r="BS46" s="4">
        <f t="shared" si="48"/>
        <v>2500</v>
      </c>
      <c r="BT46" s="4">
        <f t="shared" si="48"/>
        <v>2500</v>
      </c>
      <c r="BU46" s="4">
        <f t="shared" si="48"/>
        <v>2500</v>
      </c>
      <c r="BV46" s="4">
        <f t="shared" si="48"/>
        <v>2500</v>
      </c>
      <c r="BW46" s="4">
        <f t="shared" si="48"/>
        <v>1750</v>
      </c>
      <c r="BX46" s="4">
        <f t="shared" si="7"/>
        <v>26750</v>
      </c>
      <c r="BY46" s="27">
        <f t="shared" si="8"/>
        <v>1681.4500000000007</v>
      </c>
      <c r="CA46" s="86">
        <f t="shared" si="9"/>
        <v>65000</v>
      </c>
    </row>
    <row r="47" spans="1:81" x14ac:dyDescent="0.25">
      <c r="A47" s="71">
        <f t="shared" si="10"/>
        <v>43</v>
      </c>
      <c r="B47" s="11" t="s">
        <v>14</v>
      </c>
      <c r="C47" s="49"/>
      <c r="D47" s="49"/>
      <c r="E47" s="49"/>
      <c r="F47" s="49"/>
      <c r="G47" s="49"/>
      <c r="H47" s="49">
        <v>0</v>
      </c>
      <c r="I47" s="49">
        <v>7877.25</v>
      </c>
      <c r="J47" s="49"/>
      <c r="K47" s="49"/>
      <c r="L47" s="49"/>
      <c r="M47" s="49">
        <v>2550</v>
      </c>
      <c r="N47" s="49">
        <v>1741.34</v>
      </c>
      <c r="O47" s="49">
        <v>1700</v>
      </c>
      <c r="P47" s="49"/>
      <c r="Q47" s="37">
        <f t="shared" si="2"/>
        <v>13868.59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>
        <v>1066</v>
      </c>
      <c r="AD47" s="34">
        <v>1741.35</v>
      </c>
      <c r="AE47" s="34">
        <v>1959.62</v>
      </c>
      <c r="AF47" s="34">
        <v>3750</v>
      </c>
      <c r="AG47" s="37">
        <f t="shared" si="3"/>
        <v>8516.9699999999993</v>
      </c>
      <c r="AH47" s="62">
        <v>0</v>
      </c>
      <c r="AI47" s="3">
        <v>0</v>
      </c>
      <c r="AJ47" s="62">
        <v>15432.7</v>
      </c>
      <c r="AK47" s="62"/>
      <c r="AL47" s="62"/>
      <c r="AM47" s="3"/>
      <c r="AN47" s="3"/>
      <c r="AO47" s="3"/>
      <c r="AP47" s="35">
        <f t="shared" si="4"/>
        <v>15432.7</v>
      </c>
      <c r="AQ47" s="3"/>
      <c r="AR47" s="3"/>
      <c r="AS47" s="3"/>
      <c r="AT47" s="3"/>
      <c r="AU47" s="3"/>
      <c r="AV47" s="3"/>
      <c r="AW47" s="3"/>
      <c r="AX47" s="3">
        <v>5357.68</v>
      </c>
      <c r="AY47" s="3">
        <v>1700</v>
      </c>
      <c r="AZ47" s="35">
        <f t="shared" si="18"/>
        <v>7057.68</v>
      </c>
      <c r="BA47" s="35">
        <v>375</v>
      </c>
      <c r="BB47" s="35"/>
      <c r="BC47" s="35"/>
      <c r="BD47" s="73">
        <v>2250</v>
      </c>
      <c r="BE47" s="76"/>
      <c r="BF47" s="76"/>
      <c r="BG47" s="76"/>
      <c r="BH47" s="76"/>
      <c r="BI47" s="76"/>
      <c r="BJ47" s="35"/>
      <c r="BK47" s="19">
        <f t="shared" si="5"/>
        <v>47500.94</v>
      </c>
      <c r="BL47" s="17">
        <v>36.057690000000001</v>
      </c>
      <c r="BM47" s="3">
        <f>+$BL$47*BM2</f>
        <v>2884.6152000000002</v>
      </c>
      <c r="BN47" s="3">
        <f t="shared" ref="BN47:BW47" si="49">+$BL$47*BN2</f>
        <v>2884.6152000000002</v>
      </c>
      <c r="BO47" s="3">
        <f t="shared" si="49"/>
        <v>2884.6152000000002</v>
      </c>
      <c r="BP47" s="3">
        <f t="shared" si="49"/>
        <v>2884.6152000000002</v>
      </c>
      <c r="BQ47" s="3">
        <f t="shared" si="49"/>
        <v>2884.6152000000002</v>
      </c>
      <c r="BR47" s="3">
        <f t="shared" si="49"/>
        <v>2884.6152000000002</v>
      </c>
      <c r="BS47" s="3">
        <f t="shared" si="49"/>
        <v>2884.6152000000002</v>
      </c>
      <c r="BT47" s="3">
        <f t="shared" si="49"/>
        <v>2884.6152000000002</v>
      </c>
      <c r="BU47" s="3">
        <f t="shared" si="49"/>
        <v>2884.6152000000002</v>
      </c>
      <c r="BV47" s="3">
        <f t="shared" si="49"/>
        <v>2884.6152000000002</v>
      </c>
      <c r="BW47" s="3">
        <f t="shared" si="49"/>
        <v>2019.23064</v>
      </c>
      <c r="BX47" s="4">
        <f t="shared" si="7"/>
        <v>30865.382640000003</v>
      </c>
      <c r="BY47" s="45">
        <f t="shared" si="8"/>
        <v>16635.557359999999</v>
      </c>
      <c r="CA47" s="86">
        <f t="shared" si="9"/>
        <v>74999.995200000005</v>
      </c>
    </row>
    <row r="48" spans="1:81" x14ac:dyDescent="0.25">
      <c r="A48" s="71">
        <f t="shared" si="10"/>
        <v>44</v>
      </c>
      <c r="B48" s="12" t="s">
        <v>31</v>
      </c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37">
        <f t="shared" si="2"/>
        <v>0</v>
      </c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7">
        <f t="shared" si="3"/>
        <v>0</v>
      </c>
      <c r="AH48" s="61"/>
      <c r="AI48" s="4"/>
      <c r="AJ48" s="63">
        <v>25557.65</v>
      </c>
      <c r="AK48" s="63"/>
      <c r="AL48" s="61"/>
      <c r="AM48" s="34"/>
      <c r="AN48" s="4"/>
      <c r="AO48" s="4"/>
      <c r="AP48" s="35">
        <f t="shared" si="4"/>
        <v>25557.65</v>
      </c>
      <c r="AQ48" s="3"/>
      <c r="AR48" s="3"/>
      <c r="AS48" s="3"/>
      <c r="AT48" s="3"/>
      <c r="AU48" s="3"/>
      <c r="AV48" s="3"/>
      <c r="AW48" s="3"/>
      <c r="AX48" s="3"/>
      <c r="AY48" s="3"/>
      <c r="AZ48" s="35">
        <f t="shared" si="18"/>
        <v>0</v>
      </c>
      <c r="BA48" s="35"/>
      <c r="BB48" s="35"/>
      <c r="BC48" s="35"/>
      <c r="BD48" s="35"/>
      <c r="BE48" s="75"/>
      <c r="BF48" s="75"/>
      <c r="BG48" s="75"/>
      <c r="BH48" s="75"/>
      <c r="BI48" s="75"/>
      <c r="BJ48" s="37"/>
      <c r="BK48" s="19">
        <f t="shared" si="5"/>
        <v>25557.65</v>
      </c>
      <c r="BL48" s="17">
        <v>24.038499999999999</v>
      </c>
      <c r="BM48" s="3">
        <f>+$BL$48*BM2</f>
        <v>1923.08</v>
      </c>
      <c r="BN48" s="3">
        <f t="shared" ref="BN48:BW48" si="50">+$BL$48*BN2</f>
        <v>1923.08</v>
      </c>
      <c r="BO48" s="3">
        <f t="shared" si="50"/>
        <v>1923.08</v>
      </c>
      <c r="BP48" s="3">
        <f t="shared" si="50"/>
        <v>1923.08</v>
      </c>
      <c r="BQ48" s="3">
        <f t="shared" si="50"/>
        <v>1923.08</v>
      </c>
      <c r="BR48" s="3">
        <f t="shared" si="50"/>
        <v>1923.08</v>
      </c>
      <c r="BS48" s="3">
        <f t="shared" si="50"/>
        <v>1923.08</v>
      </c>
      <c r="BT48" s="3">
        <f t="shared" si="50"/>
        <v>1923.08</v>
      </c>
      <c r="BU48" s="3">
        <f t="shared" si="50"/>
        <v>1923.08</v>
      </c>
      <c r="BV48" s="3">
        <f t="shared" si="50"/>
        <v>1923.08</v>
      </c>
      <c r="BW48" s="3">
        <f t="shared" si="50"/>
        <v>1346.1559999999999</v>
      </c>
      <c r="BX48" s="4">
        <f t="shared" si="7"/>
        <v>20576.956000000002</v>
      </c>
      <c r="BY48" s="25">
        <f t="shared" si="8"/>
        <v>4980.6939999999995</v>
      </c>
      <c r="CA48" s="86">
        <f t="shared" si="9"/>
        <v>50000.08</v>
      </c>
    </row>
    <row r="49" spans="1:82" x14ac:dyDescent="0.25">
      <c r="A49" s="71">
        <f t="shared" si="10"/>
        <v>45</v>
      </c>
      <c r="B49" s="12" t="s">
        <v>76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37">
        <f t="shared" si="2"/>
        <v>0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7">
        <f t="shared" si="3"/>
        <v>0</v>
      </c>
      <c r="AH49" s="61"/>
      <c r="AI49" s="4"/>
      <c r="AJ49" s="63"/>
      <c r="AK49" s="63"/>
      <c r="AL49" s="61"/>
      <c r="AM49" s="34"/>
      <c r="AN49" s="4">
        <v>21915</v>
      </c>
      <c r="AO49" s="4"/>
      <c r="AP49" s="35">
        <f t="shared" si="4"/>
        <v>21915</v>
      </c>
      <c r="AQ49" s="4"/>
      <c r="AR49" s="4"/>
      <c r="AS49" s="4"/>
      <c r="AT49" s="4"/>
      <c r="AU49" s="4"/>
      <c r="AV49" s="4"/>
      <c r="AW49" s="4"/>
      <c r="AX49" s="4"/>
      <c r="AY49" s="4"/>
      <c r="AZ49" s="35">
        <f t="shared" si="18"/>
        <v>0</v>
      </c>
      <c r="BA49" s="35"/>
      <c r="BB49" s="35"/>
      <c r="BC49" s="35"/>
      <c r="BD49" s="35"/>
      <c r="BE49" s="75"/>
      <c r="BF49" s="75"/>
      <c r="BG49" s="75"/>
      <c r="BH49" s="75"/>
      <c r="BI49" s="75"/>
      <c r="BJ49" s="37"/>
      <c r="BK49" s="19">
        <f t="shared" si="5"/>
        <v>21915</v>
      </c>
      <c r="BL49" s="16">
        <v>25.600999999999999</v>
      </c>
      <c r="BM49" s="4">
        <f>+$BL$49*BM2</f>
        <v>2048.08</v>
      </c>
      <c r="BN49" s="4">
        <f t="shared" ref="BN49:BW49" si="51">+$BL$49*BN2</f>
        <v>2048.08</v>
      </c>
      <c r="BO49" s="4">
        <f t="shared" si="51"/>
        <v>2048.08</v>
      </c>
      <c r="BP49" s="4">
        <f t="shared" si="51"/>
        <v>2048.08</v>
      </c>
      <c r="BQ49" s="4">
        <f t="shared" si="51"/>
        <v>2048.08</v>
      </c>
      <c r="BR49" s="4">
        <f t="shared" si="51"/>
        <v>2048.08</v>
      </c>
      <c r="BS49" s="4">
        <f t="shared" si="51"/>
        <v>2048.08</v>
      </c>
      <c r="BT49" s="4">
        <f t="shared" si="51"/>
        <v>2048.08</v>
      </c>
      <c r="BU49" s="4">
        <f t="shared" si="51"/>
        <v>2048.08</v>
      </c>
      <c r="BV49" s="4">
        <f t="shared" si="51"/>
        <v>2048.08</v>
      </c>
      <c r="BW49" s="4">
        <f t="shared" si="51"/>
        <v>1433.6559999999999</v>
      </c>
      <c r="BX49" s="4">
        <f t="shared" si="7"/>
        <v>21914.456000000002</v>
      </c>
      <c r="BY49" s="27">
        <f t="shared" si="8"/>
        <v>0.54399999999805004</v>
      </c>
      <c r="CA49" s="86">
        <f t="shared" si="9"/>
        <v>53250.080000000002</v>
      </c>
    </row>
    <row r="50" spans="1:82" x14ac:dyDescent="0.25">
      <c r="A50" s="71">
        <f t="shared" si="10"/>
        <v>46</v>
      </c>
      <c r="B50" s="12" t="s">
        <v>66</v>
      </c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37">
        <f t="shared" si="2"/>
        <v>0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7">
        <f t="shared" si="3"/>
        <v>0</v>
      </c>
      <c r="AH50" s="61">
        <v>19782.62</v>
      </c>
      <c r="AI50" s="4"/>
      <c r="AJ50" s="63"/>
      <c r="AK50" s="63"/>
      <c r="AL50" s="61"/>
      <c r="AM50" s="34"/>
      <c r="AN50" s="4"/>
      <c r="AO50" s="4"/>
      <c r="AP50" s="35">
        <f t="shared" si="4"/>
        <v>19782.62</v>
      </c>
      <c r="AQ50" s="4"/>
      <c r="AR50" s="4"/>
      <c r="AS50" s="4"/>
      <c r="AT50" s="4"/>
      <c r="AU50" s="4"/>
      <c r="AV50" s="4"/>
      <c r="AW50" s="4"/>
      <c r="AX50" s="4"/>
      <c r="AY50" s="4"/>
      <c r="AZ50" s="35">
        <f t="shared" si="18"/>
        <v>0</v>
      </c>
      <c r="BA50" s="35"/>
      <c r="BB50" s="35"/>
      <c r="BC50" s="35"/>
      <c r="BD50" s="35"/>
      <c r="BE50" s="75"/>
      <c r="BF50" s="75"/>
      <c r="BG50" s="75"/>
      <c r="BH50" s="75"/>
      <c r="BI50" s="75"/>
      <c r="BJ50" s="37"/>
      <c r="BK50" s="19">
        <f t="shared" si="5"/>
        <v>19782.62</v>
      </c>
      <c r="BL50" s="16">
        <v>24.038499999999999</v>
      </c>
      <c r="BM50" s="4">
        <f>+$BL$50*BM2</f>
        <v>1923.08</v>
      </c>
      <c r="BN50" s="4">
        <f t="shared" ref="BN50:BW50" si="52">+$BL$50*BN2</f>
        <v>1923.08</v>
      </c>
      <c r="BO50" s="4">
        <f t="shared" si="52"/>
        <v>1923.08</v>
      </c>
      <c r="BP50" s="4">
        <f t="shared" si="52"/>
        <v>1923.08</v>
      </c>
      <c r="BQ50" s="4">
        <f t="shared" si="52"/>
        <v>1923.08</v>
      </c>
      <c r="BR50" s="4">
        <f t="shared" si="52"/>
        <v>1923.08</v>
      </c>
      <c r="BS50" s="4">
        <f t="shared" si="52"/>
        <v>1923.08</v>
      </c>
      <c r="BT50" s="4">
        <f t="shared" si="52"/>
        <v>1923.08</v>
      </c>
      <c r="BU50" s="4">
        <f t="shared" si="52"/>
        <v>1923.08</v>
      </c>
      <c r="BV50" s="4">
        <f t="shared" si="52"/>
        <v>1923.08</v>
      </c>
      <c r="BW50" s="4">
        <f t="shared" si="52"/>
        <v>1346.1559999999999</v>
      </c>
      <c r="BX50" s="4">
        <f t="shared" si="7"/>
        <v>20576.956000000002</v>
      </c>
      <c r="BY50" s="74">
        <f t="shared" si="8"/>
        <v>-794.33600000000297</v>
      </c>
      <c r="CA50" s="86">
        <f t="shared" si="9"/>
        <v>50000.08</v>
      </c>
    </row>
    <row r="51" spans="1:82" x14ac:dyDescent="0.25">
      <c r="A51" s="71">
        <f t="shared" si="10"/>
        <v>47</v>
      </c>
      <c r="B51" s="12" t="s">
        <v>35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37">
        <f t="shared" si="2"/>
        <v>0</v>
      </c>
      <c r="R51" s="34"/>
      <c r="S51" s="34"/>
      <c r="T51" s="34"/>
      <c r="U51" s="34"/>
      <c r="V51" s="34">
        <v>0</v>
      </c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7">
        <f t="shared" si="3"/>
        <v>0</v>
      </c>
      <c r="AH51" s="61"/>
      <c r="AI51" s="4"/>
      <c r="AJ51" s="63">
        <f>25024.79+1000+4362.14+0.29</f>
        <v>30387.22</v>
      </c>
      <c r="AK51" s="63"/>
      <c r="AL51" s="61"/>
      <c r="AM51" s="34"/>
      <c r="AN51" s="4"/>
      <c r="AO51" s="4"/>
      <c r="AP51" s="35">
        <f t="shared" si="4"/>
        <v>30387.22</v>
      </c>
      <c r="AQ51" s="3"/>
      <c r="AR51" s="3"/>
      <c r="AS51" s="3"/>
      <c r="AT51" s="3"/>
      <c r="AU51" s="3"/>
      <c r="AV51" s="3"/>
      <c r="AW51" s="3"/>
      <c r="AX51" s="3"/>
      <c r="AY51" s="3"/>
      <c r="AZ51" s="35">
        <f t="shared" si="18"/>
        <v>0</v>
      </c>
      <c r="BA51" s="35"/>
      <c r="BB51" s="35"/>
      <c r="BC51" s="35"/>
      <c r="BD51" s="35"/>
      <c r="BE51" s="75"/>
      <c r="BF51" s="75"/>
      <c r="BG51" s="75"/>
      <c r="BH51" s="75"/>
      <c r="BI51" s="75"/>
      <c r="BJ51" s="37"/>
      <c r="BK51" s="19">
        <f t="shared" si="5"/>
        <v>30387.22</v>
      </c>
      <c r="BL51" s="17">
        <v>30.180900000000001</v>
      </c>
      <c r="BM51" s="3">
        <f>+$BL$51*BM2</f>
        <v>2414.4720000000002</v>
      </c>
      <c r="BN51" s="3">
        <f t="shared" ref="BN51:BW51" si="53">+$BL$51*BN2</f>
        <v>2414.4720000000002</v>
      </c>
      <c r="BO51" s="3">
        <f t="shared" si="53"/>
        <v>2414.4720000000002</v>
      </c>
      <c r="BP51" s="3">
        <f t="shared" si="53"/>
        <v>2414.4720000000002</v>
      </c>
      <c r="BQ51" s="3">
        <f t="shared" si="53"/>
        <v>2414.4720000000002</v>
      </c>
      <c r="BR51" s="3">
        <f t="shared" si="53"/>
        <v>2414.4720000000002</v>
      </c>
      <c r="BS51" s="3">
        <f t="shared" si="53"/>
        <v>2414.4720000000002</v>
      </c>
      <c r="BT51" s="3">
        <f t="shared" si="53"/>
        <v>2414.4720000000002</v>
      </c>
      <c r="BU51" s="3">
        <f t="shared" si="53"/>
        <v>2414.4720000000002</v>
      </c>
      <c r="BV51" s="3">
        <f t="shared" si="53"/>
        <v>2414.4720000000002</v>
      </c>
      <c r="BW51" s="3">
        <f t="shared" si="53"/>
        <v>1690.1304</v>
      </c>
      <c r="BX51" s="4">
        <f t="shared" si="7"/>
        <v>25834.850400000003</v>
      </c>
      <c r="BY51" s="27">
        <f t="shared" si="8"/>
        <v>4552.3695999999982</v>
      </c>
      <c r="CA51" s="86">
        <f t="shared" si="9"/>
        <v>62776.272000000004</v>
      </c>
    </row>
    <row r="52" spans="1:82" x14ac:dyDescent="0.25">
      <c r="A52" s="71">
        <f t="shared" si="10"/>
        <v>48</v>
      </c>
      <c r="B52" s="12" t="s">
        <v>21</v>
      </c>
      <c r="C52" s="48"/>
      <c r="D52" s="48"/>
      <c r="E52" s="48"/>
      <c r="F52" s="48"/>
      <c r="G52" s="48">
        <v>1523.12</v>
      </c>
      <c r="H52" s="48">
        <v>5844.58</v>
      </c>
      <c r="I52" s="48"/>
      <c r="J52" s="48"/>
      <c r="K52" s="48"/>
      <c r="L52" s="48"/>
      <c r="M52" s="48"/>
      <c r="N52" s="48"/>
      <c r="O52" s="48">
        <v>5335.2</v>
      </c>
      <c r="P52" s="48"/>
      <c r="Q52" s="37">
        <f t="shared" si="2"/>
        <v>12702.9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7">
        <f t="shared" si="3"/>
        <v>0</v>
      </c>
      <c r="AH52" s="62">
        <v>0</v>
      </c>
      <c r="AI52" s="3">
        <v>0</v>
      </c>
      <c r="AJ52" s="62"/>
      <c r="AK52" s="62"/>
      <c r="AL52" s="62"/>
      <c r="AM52" s="3"/>
      <c r="AN52" s="3"/>
      <c r="AO52" s="3"/>
      <c r="AP52" s="35">
        <f t="shared" si="4"/>
        <v>0</v>
      </c>
      <c r="AQ52" s="3"/>
      <c r="AR52" s="3"/>
      <c r="AS52" s="3"/>
      <c r="AT52" s="3"/>
      <c r="AU52" s="3"/>
      <c r="AV52" s="3"/>
      <c r="AW52" s="3">
        <v>28122.880000000001</v>
      </c>
      <c r="AX52" s="3">
        <v>1133.4000000000001</v>
      </c>
      <c r="AY52" s="3">
        <v>1560</v>
      </c>
      <c r="AZ52" s="35">
        <f t="shared" si="18"/>
        <v>30816.280000000002</v>
      </c>
      <c r="BA52" s="35"/>
      <c r="BB52" s="35"/>
      <c r="BC52" s="35"/>
      <c r="BD52" s="35"/>
      <c r="BE52" s="76"/>
      <c r="BF52" s="76"/>
      <c r="BG52" s="76"/>
      <c r="BH52" s="76"/>
      <c r="BI52" s="76"/>
      <c r="BJ52" s="35"/>
      <c r="BK52" s="19">
        <f t="shared" si="5"/>
        <v>43519.18</v>
      </c>
      <c r="BL52" s="17">
        <v>30.5547</v>
      </c>
      <c r="BM52" s="3">
        <f>+$BL$52*BM2</f>
        <v>2444.3760000000002</v>
      </c>
      <c r="BN52" s="3">
        <f t="shared" ref="BN52:BW52" si="54">+$BL$52*BN2</f>
        <v>2444.3760000000002</v>
      </c>
      <c r="BO52" s="3">
        <f t="shared" si="54"/>
        <v>2444.3760000000002</v>
      </c>
      <c r="BP52" s="3">
        <f t="shared" si="54"/>
        <v>2444.3760000000002</v>
      </c>
      <c r="BQ52" s="3">
        <f t="shared" si="54"/>
        <v>2444.3760000000002</v>
      </c>
      <c r="BR52" s="3">
        <f t="shared" si="54"/>
        <v>2444.3760000000002</v>
      </c>
      <c r="BS52" s="3">
        <f t="shared" si="54"/>
        <v>2444.3760000000002</v>
      </c>
      <c r="BT52" s="3">
        <f t="shared" si="54"/>
        <v>2444.3760000000002</v>
      </c>
      <c r="BU52" s="3">
        <f t="shared" si="54"/>
        <v>2444.3760000000002</v>
      </c>
      <c r="BV52" s="3">
        <f t="shared" si="54"/>
        <v>2444.3760000000002</v>
      </c>
      <c r="BW52" s="3">
        <f t="shared" si="54"/>
        <v>1711.0632000000001</v>
      </c>
      <c r="BX52" s="4">
        <f t="shared" si="7"/>
        <v>26154.823200000003</v>
      </c>
      <c r="BY52" s="25">
        <f t="shared" si="8"/>
        <v>17364.356799999998</v>
      </c>
      <c r="CA52" s="86">
        <f t="shared" si="9"/>
        <v>63553.775999999998</v>
      </c>
    </row>
    <row r="53" spans="1:82" x14ac:dyDescent="0.25">
      <c r="A53" s="71">
        <f t="shared" si="10"/>
        <v>49</v>
      </c>
      <c r="B53" s="12" t="s">
        <v>62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37">
        <f t="shared" si="2"/>
        <v>0</v>
      </c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7">
        <f t="shared" si="3"/>
        <v>0</v>
      </c>
      <c r="AH53" s="61"/>
      <c r="AI53" s="4"/>
      <c r="AJ53" s="63"/>
      <c r="AK53" s="63"/>
      <c r="AL53" s="61"/>
      <c r="AM53" s="34"/>
      <c r="AN53" s="4"/>
      <c r="AO53" s="4"/>
      <c r="AP53" s="35">
        <f t="shared" si="4"/>
        <v>0</v>
      </c>
      <c r="AQ53" s="4"/>
      <c r="AR53" s="4"/>
      <c r="AS53" s="4"/>
      <c r="AT53" s="4"/>
      <c r="AU53" s="4"/>
      <c r="AV53" s="4"/>
      <c r="AW53" s="4"/>
      <c r="AX53" s="4">
        <v>21869.24</v>
      </c>
      <c r="AY53" s="4"/>
      <c r="AZ53" s="35">
        <f t="shared" si="18"/>
        <v>21869.24</v>
      </c>
      <c r="BA53" s="35"/>
      <c r="BB53" s="35"/>
      <c r="BC53" s="35">
        <v>1126.44</v>
      </c>
      <c r="BD53" s="73">
        <v>23429.95</v>
      </c>
      <c r="BE53" s="75"/>
      <c r="BF53" s="75"/>
      <c r="BG53" s="75"/>
      <c r="BH53" s="75"/>
      <c r="BI53" s="75"/>
      <c r="BJ53" s="37"/>
      <c r="BK53" s="19">
        <f t="shared" si="5"/>
        <v>46425.630000000005</v>
      </c>
      <c r="BL53" s="16">
        <v>28.161000000000001</v>
      </c>
      <c r="BM53" s="4">
        <f>+$BL$53*BM2</f>
        <v>2252.88</v>
      </c>
      <c r="BN53" s="4">
        <f t="shared" ref="BN53:BW53" si="55">+$BL$53*BN2</f>
        <v>2252.88</v>
      </c>
      <c r="BO53" s="4">
        <f t="shared" si="55"/>
        <v>2252.88</v>
      </c>
      <c r="BP53" s="4">
        <f t="shared" si="55"/>
        <v>2252.88</v>
      </c>
      <c r="BQ53" s="4">
        <f t="shared" si="55"/>
        <v>2252.88</v>
      </c>
      <c r="BR53" s="4">
        <f t="shared" si="55"/>
        <v>2252.88</v>
      </c>
      <c r="BS53" s="4">
        <f t="shared" si="55"/>
        <v>2252.88</v>
      </c>
      <c r="BT53" s="4">
        <f t="shared" si="55"/>
        <v>2252.88</v>
      </c>
      <c r="BU53" s="4">
        <f t="shared" si="55"/>
        <v>2252.88</v>
      </c>
      <c r="BV53" s="4">
        <f t="shared" si="55"/>
        <v>2252.88</v>
      </c>
      <c r="BW53" s="4">
        <f t="shared" si="55"/>
        <v>1577.0160000000001</v>
      </c>
      <c r="BX53" s="4">
        <f t="shared" si="7"/>
        <v>24105.816000000006</v>
      </c>
      <c r="BY53" s="27">
        <f t="shared" si="8"/>
        <v>22319.813999999998</v>
      </c>
      <c r="CA53" s="86">
        <f t="shared" si="9"/>
        <v>58574.880000000005</v>
      </c>
    </row>
    <row r="54" spans="1:82" x14ac:dyDescent="0.25">
      <c r="A54" s="71">
        <f t="shared" si="10"/>
        <v>50</v>
      </c>
      <c r="B54" s="12" t="s">
        <v>46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37">
        <f t="shared" si="2"/>
        <v>0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7">
        <f t="shared" si="3"/>
        <v>0</v>
      </c>
      <c r="AH54" s="62"/>
      <c r="AI54" s="3"/>
      <c r="AJ54" s="62"/>
      <c r="AK54" s="62"/>
      <c r="AL54" s="62"/>
      <c r="AM54" s="3"/>
      <c r="AN54" s="3"/>
      <c r="AO54" s="3"/>
      <c r="AP54" s="35">
        <f t="shared" si="4"/>
        <v>0</v>
      </c>
      <c r="AQ54" s="3"/>
      <c r="AR54" s="3">
        <v>28000.880000000001</v>
      </c>
      <c r="AS54" s="3"/>
      <c r="AT54" s="3"/>
      <c r="AU54" s="3"/>
      <c r="AV54" s="3"/>
      <c r="AW54" s="3"/>
      <c r="AX54" s="3"/>
      <c r="AY54" s="3"/>
      <c r="AZ54" s="35">
        <f t="shared" si="18"/>
        <v>28000.880000000001</v>
      </c>
      <c r="BA54" s="35"/>
      <c r="BB54" s="35"/>
      <c r="BC54" s="35"/>
      <c r="BD54" s="35"/>
      <c r="BE54" s="76"/>
      <c r="BF54" s="76"/>
      <c r="BG54" s="76"/>
      <c r="BH54" s="76"/>
      <c r="BI54" s="76"/>
      <c r="BJ54" s="35"/>
      <c r="BK54" s="19">
        <f t="shared" si="5"/>
        <v>28000.880000000001</v>
      </c>
      <c r="BL54" s="17">
        <v>27.777000000000001</v>
      </c>
      <c r="BM54" s="3">
        <f>+$BL$54*BM2</f>
        <v>2222.16</v>
      </c>
      <c r="BN54" s="3">
        <f t="shared" ref="BN54:BW54" si="56">+$BL$54*BN2</f>
        <v>2222.16</v>
      </c>
      <c r="BO54" s="3">
        <f t="shared" si="56"/>
        <v>2222.16</v>
      </c>
      <c r="BP54" s="3">
        <f t="shared" si="56"/>
        <v>2222.16</v>
      </c>
      <c r="BQ54" s="3">
        <f t="shared" si="56"/>
        <v>2222.16</v>
      </c>
      <c r="BR54" s="3">
        <f t="shared" si="56"/>
        <v>2222.16</v>
      </c>
      <c r="BS54" s="3">
        <f t="shared" si="56"/>
        <v>2222.16</v>
      </c>
      <c r="BT54" s="3">
        <f t="shared" si="56"/>
        <v>2222.16</v>
      </c>
      <c r="BU54" s="3">
        <f t="shared" si="56"/>
        <v>2222.16</v>
      </c>
      <c r="BV54" s="3">
        <f t="shared" si="56"/>
        <v>2222.16</v>
      </c>
      <c r="BW54" s="3">
        <f t="shared" si="56"/>
        <v>1555.5120000000002</v>
      </c>
      <c r="BX54" s="4">
        <f t="shared" si="7"/>
        <v>23777.111999999997</v>
      </c>
      <c r="BY54" s="25">
        <f t="shared" si="8"/>
        <v>4223.7680000000037</v>
      </c>
      <c r="CA54" s="86">
        <f t="shared" si="9"/>
        <v>57776.160000000003</v>
      </c>
    </row>
    <row r="55" spans="1:82" x14ac:dyDescent="0.25">
      <c r="A55" s="71">
        <f t="shared" si="10"/>
        <v>51</v>
      </c>
      <c r="B55" s="13" t="s">
        <v>24</v>
      </c>
      <c r="C55" s="51"/>
      <c r="D55" s="51"/>
      <c r="E55" s="51"/>
      <c r="F55" s="51"/>
      <c r="G55" s="51"/>
      <c r="H55" s="51">
        <v>2923.07</v>
      </c>
      <c r="I55" s="51"/>
      <c r="J55" s="51"/>
      <c r="K55" s="51"/>
      <c r="L55" s="51"/>
      <c r="M55" s="51"/>
      <c r="N55" s="51"/>
      <c r="O55" s="51">
        <v>1315.38</v>
      </c>
      <c r="P55" s="51"/>
      <c r="Q55" s="37">
        <f t="shared" si="2"/>
        <v>4238.4500000000007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7">
        <f t="shared" si="3"/>
        <v>0</v>
      </c>
      <c r="AH55" s="62">
        <v>0</v>
      </c>
      <c r="AI55" s="3">
        <v>0</v>
      </c>
      <c r="AJ55" s="62"/>
      <c r="AK55" s="62"/>
      <c r="AL55" s="62"/>
      <c r="AM55" s="3"/>
      <c r="AN55" s="3"/>
      <c r="AO55" s="3"/>
      <c r="AP55" s="35">
        <f t="shared" si="4"/>
        <v>0</v>
      </c>
      <c r="AQ55" s="3">
        <v>780</v>
      </c>
      <c r="AR55" s="3">
        <v>850</v>
      </c>
      <c r="AS55" s="3">
        <v>4730.79</v>
      </c>
      <c r="AT55" s="3">
        <v>26884.61</v>
      </c>
      <c r="AU55" s="3"/>
      <c r="AV55" s="3">
        <v>73.06</v>
      </c>
      <c r="AW55" s="3">
        <v>1700</v>
      </c>
      <c r="AX55" s="3">
        <v>6800</v>
      </c>
      <c r="AY55" s="3">
        <v>1700</v>
      </c>
      <c r="AZ55" s="35">
        <f t="shared" si="18"/>
        <v>43518.46</v>
      </c>
      <c r="BA55" s="35"/>
      <c r="BB55" s="35"/>
      <c r="BC55" s="35"/>
      <c r="BD55" s="73">
        <v>2000</v>
      </c>
      <c r="BE55" s="76">
        <v>0</v>
      </c>
      <c r="BF55" s="76"/>
      <c r="BG55" s="76">
        <f>4891.08-291.04</f>
        <v>4600.04</v>
      </c>
      <c r="BH55" s="76"/>
      <c r="BI55" s="76"/>
      <c r="BJ55" s="35"/>
      <c r="BK55" s="19">
        <f t="shared" si="5"/>
        <v>54356.950000000004</v>
      </c>
      <c r="BL55" s="17">
        <v>38.461500000000001</v>
      </c>
      <c r="BM55" s="3">
        <f>+$BL$55*BM2</f>
        <v>3076.92</v>
      </c>
      <c r="BN55" s="3">
        <f t="shared" ref="BN55:BW55" si="57">+$BL$55*BN2</f>
        <v>3076.92</v>
      </c>
      <c r="BO55" s="3">
        <f t="shared" si="57"/>
        <v>3076.92</v>
      </c>
      <c r="BP55" s="3">
        <f t="shared" si="57"/>
        <v>3076.92</v>
      </c>
      <c r="BQ55" s="3">
        <f t="shared" si="57"/>
        <v>3076.92</v>
      </c>
      <c r="BR55" s="3">
        <f t="shared" si="57"/>
        <v>3076.92</v>
      </c>
      <c r="BS55" s="3">
        <f t="shared" si="57"/>
        <v>3076.92</v>
      </c>
      <c r="BT55" s="3">
        <f t="shared" si="57"/>
        <v>3076.92</v>
      </c>
      <c r="BU55" s="3">
        <f t="shared" si="57"/>
        <v>3076.92</v>
      </c>
      <c r="BV55" s="3">
        <f t="shared" si="57"/>
        <v>3076.92</v>
      </c>
      <c r="BW55" s="3">
        <f t="shared" si="57"/>
        <v>2153.8440000000001</v>
      </c>
      <c r="BX55" s="4">
        <f t="shared" si="7"/>
        <v>32923.043999999994</v>
      </c>
      <c r="BY55" s="25">
        <f t="shared" si="8"/>
        <v>21433.90600000001</v>
      </c>
      <c r="CA55" s="86">
        <f t="shared" si="9"/>
        <v>79999.92</v>
      </c>
    </row>
    <row r="56" spans="1:82" x14ac:dyDescent="0.25">
      <c r="A56" s="71">
        <f t="shared" si="10"/>
        <v>52</v>
      </c>
      <c r="B56" s="12" t="s">
        <v>40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37">
        <f t="shared" si="2"/>
        <v>0</v>
      </c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7">
        <f t="shared" si="3"/>
        <v>0</v>
      </c>
      <c r="AH56" s="61"/>
      <c r="AI56" s="4"/>
      <c r="AJ56" s="63"/>
      <c r="AK56" s="63">
        <v>18001.169999999998</v>
      </c>
      <c r="AL56" s="61"/>
      <c r="AM56" s="34"/>
      <c r="AN56" s="4"/>
      <c r="AO56" s="4"/>
      <c r="AP56" s="35">
        <f t="shared" si="4"/>
        <v>18001.169999999998</v>
      </c>
      <c r="AQ56" s="3"/>
      <c r="AR56" s="3"/>
      <c r="AS56" s="3"/>
      <c r="AT56" s="3"/>
      <c r="AU56" s="3"/>
      <c r="AV56" s="3"/>
      <c r="AW56" s="3"/>
      <c r="AX56" s="3"/>
      <c r="AY56" s="3"/>
      <c r="AZ56" s="35">
        <f t="shared" si="18"/>
        <v>0</v>
      </c>
      <c r="BA56" s="35">
        <v>17923</v>
      </c>
      <c r="BB56" s="35">
        <v>896.16</v>
      </c>
      <c r="BC56" s="35"/>
      <c r="BD56" s="35"/>
      <c r="BE56" s="75"/>
      <c r="BF56" s="75"/>
      <c r="BG56" s="75"/>
      <c r="BH56" s="75"/>
      <c r="BI56" s="75"/>
      <c r="BJ56" s="37"/>
      <c r="BK56" s="19">
        <f t="shared" si="5"/>
        <v>36820.33</v>
      </c>
      <c r="BL56" s="17">
        <v>28.004899999999999</v>
      </c>
      <c r="BM56" s="3">
        <f>+$BL$56*BM2</f>
        <v>2240.3919999999998</v>
      </c>
      <c r="BN56" s="3">
        <f t="shared" ref="BN56:BW56" si="58">+$BL$56*BN2</f>
        <v>2240.3919999999998</v>
      </c>
      <c r="BO56" s="3">
        <f t="shared" si="58"/>
        <v>2240.3919999999998</v>
      </c>
      <c r="BP56" s="3">
        <f t="shared" si="58"/>
        <v>2240.3919999999998</v>
      </c>
      <c r="BQ56" s="3">
        <f t="shared" si="58"/>
        <v>2240.3919999999998</v>
      </c>
      <c r="BR56" s="3">
        <f t="shared" si="58"/>
        <v>2240.3919999999998</v>
      </c>
      <c r="BS56" s="3">
        <f t="shared" si="58"/>
        <v>2240.3919999999998</v>
      </c>
      <c r="BT56" s="3">
        <f t="shared" si="58"/>
        <v>2240.3919999999998</v>
      </c>
      <c r="BU56" s="3">
        <f t="shared" si="58"/>
        <v>2240.3919999999998</v>
      </c>
      <c r="BV56" s="3">
        <f t="shared" si="58"/>
        <v>2240.3919999999998</v>
      </c>
      <c r="BW56" s="3">
        <f t="shared" si="58"/>
        <v>1568.2744</v>
      </c>
      <c r="BX56" s="4">
        <f t="shared" si="7"/>
        <v>23972.194399999997</v>
      </c>
      <c r="BY56" s="27">
        <f t="shared" si="8"/>
        <v>12848.135600000005</v>
      </c>
      <c r="CA56" s="86">
        <f t="shared" si="9"/>
        <v>58250.191999999995</v>
      </c>
    </row>
    <row r="57" spans="1:82" x14ac:dyDescent="0.25">
      <c r="A57" s="71">
        <f t="shared" si="10"/>
        <v>53</v>
      </c>
      <c r="B57" s="12" t="s">
        <v>36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37">
        <f t="shared" si="2"/>
        <v>0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7">
        <f t="shared" si="3"/>
        <v>0</v>
      </c>
      <c r="AH57" s="61"/>
      <c r="AI57" s="4"/>
      <c r="AJ57" s="63"/>
      <c r="AK57" s="63">
        <v>45162.03</v>
      </c>
      <c r="AL57" s="61"/>
      <c r="AM57" s="34"/>
      <c r="AN57" s="4"/>
      <c r="AO57" s="4"/>
      <c r="AP57" s="35">
        <f t="shared" si="4"/>
        <v>45162.03</v>
      </c>
      <c r="AQ57" s="3"/>
      <c r="AR57" s="3"/>
      <c r="AS57" s="3"/>
      <c r="AT57" s="3"/>
      <c r="AU57" s="3"/>
      <c r="AV57" s="3"/>
      <c r="AW57" s="3"/>
      <c r="AX57" s="3"/>
      <c r="AY57" s="3"/>
      <c r="AZ57" s="35">
        <f t="shared" si="18"/>
        <v>0</v>
      </c>
      <c r="BA57" s="35"/>
      <c r="BB57" s="35"/>
      <c r="BC57" s="35"/>
      <c r="BD57" s="35"/>
      <c r="BE57" s="75"/>
      <c r="BF57" s="75"/>
      <c r="BG57" s="75"/>
      <c r="BH57" s="75"/>
      <c r="BI57" s="75"/>
      <c r="BJ57" s="37"/>
      <c r="BK57" s="19">
        <f t="shared" si="5"/>
        <v>45162.03</v>
      </c>
      <c r="BL57" s="17">
        <v>28.161000000000001</v>
      </c>
      <c r="BM57" s="3">
        <f>+$BL$57*BM2</f>
        <v>2252.88</v>
      </c>
      <c r="BN57" s="3">
        <f t="shared" ref="BN57:BW57" si="59">+$BL$57*BN2</f>
        <v>2252.88</v>
      </c>
      <c r="BO57" s="3">
        <f t="shared" si="59"/>
        <v>2252.88</v>
      </c>
      <c r="BP57" s="3">
        <f t="shared" si="59"/>
        <v>2252.88</v>
      </c>
      <c r="BQ57" s="3">
        <f t="shared" si="59"/>
        <v>2252.88</v>
      </c>
      <c r="BR57" s="3">
        <f t="shared" si="59"/>
        <v>2252.88</v>
      </c>
      <c r="BS57" s="3">
        <f t="shared" si="59"/>
        <v>2252.88</v>
      </c>
      <c r="BT57" s="3">
        <f t="shared" si="59"/>
        <v>2252.88</v>
      </c>
      <c r="BU57" s="3">
        <f t="shared" si="59"/>
        <v>2252.88</v>
      </c>
      <c r="BV57" s="3">
        <f t="shared" si="59"/>
        <v>2252.88</v>
      </c>
      <c r="BW57" s="3">
        <f t="shared" si="59"/>
        <v>1577.0160000000001</v>
      </c>
      <c r="BX57" s="4">
        <f t="shared" si="7"/>
        <v>24105.816000000006</v>
      </c>
      <c r="BY57" s="25">
        <f t="shared" si="8"/>
        <v>21056.213999999993</v>
      </c>
      <c r="CA57" s="86">
        <f t="shared" si="9"/>
        <v>58574.880000000005</v>
      </c>
    </row>
    <row r="58" spans="1:82" x14ac:dyDescent="0.25">
      <c r="A58" s="71">
        <f t="shared" si="10"/>
        <v>54</v>
      </c>
      <c r="B58" s="12" t="s">
        <v>50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37">
        <f t="shared" si="2"/>
        <v>0</v>
      </c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7">
        <f t="shared" si="3"/>
        <v>0</v>
      </c>
      <c r="AH58" s="61"/>
      <c r="AI58" s="4"/>
      <c r="AJ58" s="63"/>
      <c r="AK58" s="63"/>
      <c r="AL58" s="61"/>
      <c r="AM58" s="34"/>
      <c r="AN58" s="4"/>
      <c r="AO58" s="4"/>
      <c r="AP58" s="35">
        <f t="shared" si="4"/>
        <v>0</v>
      </c>
      <c r="AQ58" s="4"/>
      <c r="AR58" s="4"/>
      <c r="AS58" s="4"/>
      <c r="AT58" s="4"/>
      <c r="AU58" s="4"/>
      <c r="AV58" s="4"/>
      <c r="AW58" s="4"/>
      <c r="AX58" s="4"/>
      <c r="AY58" s="4"/>
      <c r="AZ58" s="35">
        <f t="shared" si="18"/>
        <v>0</v>
      </c>
      <c r="BA58" s="35"/>
      <c r="BB58" s="35"/>
      <c r="BC58" s="35"/>
      <c r="BD58" s="35"/>
      <c r="BE58" s="75"/>
      <c r="BF58" s="75">
        <v>16379.55</v>
      </c>
      <c r="BG58" s="75"/>
      <c r="BH58" s="75">
        <f>13251.55-1778.26</f>
        <v>11473.289999999999</v>
      </c>
      <c r="BI58" s="75"/>
      <c r="BJ58" s="37"/>
      <c r="BK58" s="19">
        <f t="shared" si="5"/>
        <v>27852.839999999997</v>
      </c>
      <c r="BL58" s="16">
        <v>31.258800000000001</v>
      </c>
      <c r="BM58" s="4">
        <f>+$BL$58*BM2</f>
        <v>2500.7040000000002</v>
      </c>
      <c r="BN58" s="4">
        <f t="shared" ref="BN58:BU58" si="60">+$BL$58*BN2</f>
        <v>2500.7040000000002</v>
      </c>
      <c r="BO58" s="4">
        <f t="shared" si="60"/>
        <v>2500.7040000000002</v>
      </c>
      <c r="BP58" s="4">
        <f t="shared" si="60"/>
        <v>2500.7040000000002</v>
      </c>
      <c r="BQ58" s="4">
        <f t="shared" si="60"/>
        <v>2500.7040000000002</v>
      </c>
      <c r="BR58" s="4">
        <f t="shared" si="60"/>
        <v>2500.7040000000002</v>
      </c>
      <c r="BS58" s="4">
        <f t="shared" si="60"/>
        <v>2500.7040000000002</v>
      </c>
      <c r="BT58" s="4">
        <f t="shared" si="60"/>
        <v>2500.7040000000002</v>
      </c>
      <c r="BU58" s="4">
        <f t="shared" si="60"/>
        <v>2500.7040000000002</v>
      </c>
      <c r="BV58" s="34">
        <f>+BU58</f>
        <v>2500.7040000000002</v>
      </c>
      <c r="BW58" s="34">
        <f>+BV58</f>
        <v>2500.7040000000002</v>
      </c>
      <c r="BX58" s="4">
        <f t="shared" si="7"/>
        <v>27507.744000000006</v>
      </c>
      <c r="BY58" s="27">
        <f t="shared" si="8"/>
        <v>345.09599999999045</v>
      </c>
      <c r="CA58" s="86">
        <f t="shared" si="9"/>
        <v>65018.304000000004</v>
      </c>
      <c r="CB58" t="s">
        <v>12</v>
      </c>
    </row>
    <row r="59" spans="1:82" x14ac:dyDescent="0.25">
      <c r="A59" s="71">
        <f t="shared" si="10"/>
        <v>55</v>
      </c>
      <c r="B59" s="12" t="s">
        <v>22</v>
      </c>
      <c r="C59" s="48"/>
      <c r="D59" s="48"/>
      <c r="E59" s="48">
        <v>2516.6799999999998</v>
      </c>
      <c r="F59" s="48"/>
      <c r="G59" s="48"/>
      <c r="H59" s="48">
        <v>8055.61</v>
      </c>
      <c r="I59" s="48"/>
      <c r="J59" s="48"/>
      <c r="K59" s="48"/>
      <c r="L59" s="48"/>
      <c r="M59" s="48"/>
      <c r="N59" s="48">
        <v>3600</v>
      </c>
      <c r="O59" s="48">
        <v>14000.22</v>
      </c>
      <c r="P59" s="48"/>
      <c r="Q59" s="37">
        <f t="shared" si="2"/>
        <v>28172.51</v>
      </c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7">
        <f t="shared" si="3"/>
        <v>0</v>
      </c>
      <c r="AH59" s="62">
        <v>0</v>
      </c>
      <c r="AI59" s="3">
        <v>0</v>
      </c>
      <c r="AJ59" s="62"/>
      <c r="AK59" s="62"/>
      <c r="AL59" s="62"/>
      <c r="AM59" s="3"/>
      <c r="AN59" s="3"/>
      <c r="AO59" s="3"/>
      <c r="AP59" s="35">
        <f t="shared" si="4"/>
        <v>0</v>
      </c>
      <c r="AQ59" s="3"/>
      <c r="AR59" s="3"/>
      <c r="AS59" s="3"/>
      <c r="AT59" s="3"/>
      <c r="AU59" s="3"/>
      <c r="AV59" s="3"/>
      <c r="AW59" s="3">
        <v>3422.59</v>
      </c>
      <c r="AX59" s="3">
        <v>6240</v>
      </c>
      <c r="AY59" s="3">
        <v>1200</v>
      </c>
      <c r="AZ59" s="35">
        <f t="shared" si="18"/>
        <v>10862.59</v>
      </c>
      <c r="BA59" s="35"/>
      <c r="BB59" s="35"/>
      <c r="BC59" s="35"/>
      <c r="BD59" s="35"/>
      <c r="BE59" s="76"/>
      <c r="BF59" s="76"/>
      <c r="BG59" s="76"/>
      <c r="BH59" s="76"/>
      <c r="BI59" s="76"/>
      <c r="BJ59" s="35"/>
      <c r="BK59" s="19">
        <f t="shared" si="5"/>
        <v>39035.1</v>
      </c>
      <c r="BL59" s="17">
        <v>27.777100000000001</v>
      </c>
      <c r="BM59" s="3">
        <f>+$BL$59*BM2</f>
        <v>2222.1680000000001</v>
      </c>
      <c r="BN59" s="3">
        <f t="shared" ref="BN59:BW59" si="61">+$BL$59*BN2</f>
        <v>2222.1680000000001</v>
      </c>
      <c r="BO59" s="3">
        <f t="shared" si="61"/>
        <v>2222.1680000000001</v>
      </c>
      <c r="BP59" s="3">
        <f t="shared" si="61"/>
        <v>2222.1680000000001</v>
      </c>
      <c r="BQ59" s="3">
        <f t="shared" si="61"/>
        <v>2222.1680000000001</v>
      </c>
      <c r="BR59" s="3">
        <f t="shared" si="61"/>
        <v>2222.1680000000001</v>
      </c>
      <c r="BS59" s="3">
        <f t="shared" si="61"/>
        <v>2222.1680000000001</v>
      </c>
      <c r="BT59" s="3">
        <f t="shared" si="61"/>
        <v>2222.1680000000001</v>
      </c>
      <c r="BU59" s="3">
        <f t="shared" si="61"/>
        <v>2222.1680000000001</v>
      </c>
      <c r="BV59" s="3">
        <f t="shared" si="61"/>
        <v>2222.1680000000001</v>
      </c>
      <c r="BW59" s="3">
        <f t="shared" si="61"/>
        <v>1555.5176000000001</v>
      </c>
      <c r="BX59" s="4">
        <f t="shared" si="7"/>
        <v>23777.197600000003</v>
      </c>
      <c r="BY59" s="25">
        <f t="shared" si="8"/>
        <v>15257.902399999995</v>
      </c>
      <c r="CA59" s="86">
        <f t="shared" si="9"/>
        <v>57776.368000000002</v>
      </c>
      <c r="CB59" t="s">
        <v>12</v>
      </c>
      <c r="CC59" t="s">
        <v>12</v>
      </c>
    </row>
    <row r="60" spans="1:82" x14ac:dyDescent="0.25">
      <c r="A60" s="71">
        <f t="shared" si="10"/>
        <v>56</v>
      </c>
      <c r="B60" s="12" t="s">
        <v>48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37">
        <f t="shared" si="2"/>
        <v>0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7">
        <f t="shared" si="3"/>
        <v>0</v>
      </c>
      <c r="AH60" s="61"/>
      <c r="AI60" s="4"/>
      <c r="AJ60" s="63"/>
      <c r="AK60" s="63"/>
      <c r="AL60" s="61"/>
      <c r="AM60" s="34"/>
      <c r="AN60" s="4"/>
      <c r="AO60" s="4"/>
      <c r="AP60" s="35">
        <f t="shared" si="4"/>
        <v>0</v>
      </c>
      <c r="AQ60" s="4"/>
      <c r="AR60" s="4"/>
      <c r="AS60" s="4"/>
      <c r="AT60" s="4"/>
      <c r="AU60" s="4"/>
      <c r="AV60" s="4"/>
      <c r="AW60" s="4"/>
      <c r="AX60" s="4"/>
      <c r="AY60" s="4"/>
      <c r="AZ60" s="35">
        <f t="shared" si="18"/>
        <v>0</v>
      </c>
      <c r="BA60" s="35"/>
      <c r="BB60" s="35"/>
      <c r="BC60" s="35"/>
      <c r="BD60" s="35"/>
      <c r="BE60" s="75"/>
      <c r="BF60" s="75"/>
      <c r="BG60" s="75"/>
      <c r="BH60" s="75"/>
      <c r="BI60" s="75">
        <v>14307.63</v>
      </c>
      <c r="BJ60" s="37">
        <v>3557.69</v>
      </c>
      <c r="BK60" s="19">
        <f t="shared" si="5"/>
        <v>17865.32</v>
      </c>
      <c r="BL60" s="16">
        <v>24.038499999999999</v>
      </c>
      <c r="BM60" s="4">
        <f>+$BL$60*BM2</f>
        <v>1923.08</v>
      </c>
      <c r="BN60" s="4">
        <f t="shared" ref="BN60:BW60" si="62">+$BL$60*BN2</f>
        <v>1923.08</v>
      </c>
      <c r="BO60" s="4">
        <f t="shared" si="62"/>
        <v>1923.08</v>
      </c>
      <c r="BP60" s="4">
        <f t="shared" si="62"/>
        <v>1923.08</v>
      </c>
      <c r="BQ60" s="4">
        <f t="shared" si="62"/>
        <v>1923.08</v>
      </c>
      <c r="BR60" s="4">
        <f t="shared" si="62"/>
        <v>1923.08</v>
      </c>
      <c r="BS60" s="4">
        <f t="shared" si="62"/>
        <v>1923.08</v>
      </c>
      <c r="BT60" s="4">
        <f t="shared" si="62"/>
        <v>1923.08</v>
      </c>
      <c r="BU60" s="4">
        <f t="shared" si="62"/>
        <v>1923.08</v>
      </c>
      <c r="BV60" s="4">
        <f t="shared" si="62"/>
        <v>1923.08</v>
      </c>
      <c r="BW60" s="4">
        <f t="shared" si="62"/>
        <v>1346.1559999999999</v>
      </c>
      <c r="BX60" s="4">
        <f t="shared" si="7"/>
        <v>20576.956000000002</v>
      </c>
      <c r="BY60" s="74">
        <f t="shared" si="8"/>
        <v>-2711.6360000000022</v>
      </c>
      <c r="CA60" s="86">
        <f t="shared" si="9"/>
        <v>50000.08</v>
      </c>
      <c r="CB60" t="s">
        <v>12</v>
      </c>
      <c r="CC60" t="s">
        <v>12</v>
      </c>
      <c r="CD60" t="s">
        <v>12</v>
      </c>
    </row>
    <row r="61" spans="1:82" x14ac:dyDescent="0.25">
      <c r="A61" s="71">
        <f t="shared" si="10"/>
        <v>57</v>
      </c>
      <c r="B61" s="12" t="s">
        <v>77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37">
        <f t="shared" si="2"/>
        <v>0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7">
        <f t="shared" si="3"/>
        <v>0</v>
      </c>
      <c r="AH61" s="61"/>
      <c r="AI61" s="4"/>
      <c r="AJ61" s="63"/>
      <c r="AK61" s="63"/>
      <c r="AL61" s="61"/>
      <c r="AM61" s="34"/>
      <c r="AN61" s="4">
        <v>20577</v>
      </c>
      <c r="AO61" s="4"/>
      <c r="AP61" s="35">
        <f t="shared" si="4"/>
        <v>20577</v>
      </c>
      <c r="AQ61" s="4"/>
      <c r="AR61" s="4"/>
      <c r="AS61" s="4"/>
      <c r="AT61" s="4"/>
      <c r="AU61" s="4"/>
      <c r="AV61" s="4"/>
      <c r="AW61" s="4"/>
      <c r="AX61" s="4"/>
      <c r="AY61" s="4"/>
      <c r="AZ61" s="35">
        <f t="shared" si="18"/>
        <v>0</v>
      </c>
      <c r="BA61" s="35"/>
      <c r="BB61" s="35"/>
      <c r="BC61" s="35"/>
      <c r="BD61" s="35"/>
      <c r="BE61" s="75"/>
      <c r="BF61" s="75"/>
      <c r="BG61" s="75"/>
      <c r="BH61" s="75"/>
      <c r="BI61" s="75"/>
      <c r="BJ61" s="37"/>
      <c r="BK61" s="19">
        <f t="shared" si="5"/>
        <v>20577</v>
      </c>
      <c r="BL61" s="16">
        <v>24.038499999999999</v>
      </c>
      <c r="BM61" s="4">
        <f>+$BL$61*BM2</f>
        <v>1923.08</v>
      </c>
      <c r="BN61" s="4">
        <f t="shared" ref="BN61:BW61" si="63">+$BL$61*BN2</f>
        <v>1923.08</v>
      </c>
      <c r="BO61" s="4">
        <f t="shared" si="63"/>
        <v>1923.08</v>
      </c>
      <c r="BP61" s="4">
        <f t="shared" si="63"/>
        <v>1923.08</v>
      </c>
      <c r="BQ61" s="4">
        <f t="shared" si="63"/>
        <v>1923.08</v>
      </c>
      <c r="BR61" s="4">
        <f t="shared" si="63"/>
        <v>1923.08</v>
      </c>
      <c r="BS61" s="4">
        <f t="shared" si="63"/>
        <v>1923.08</v>
      </c>
      <c r="BT61" s="4">
        <f t="shared" si="63"/>
        <v>1923.08</v>
      </c>
      <c r="BU61" s="4">
        <f t="shared" si="63"/>
        <v>1923.08</v>
      </c>
      <c r="BV61" s="4">
        <f t="shared" si="63"/>
        <v>1923.08</v>
      </c>
      <c r="BW61" s="4">
        <f t="shared" si="63"/>
        <v>1346.1559999999999</v>
      </c>
      <c r="BX61" s="4">
        <f t="shared" si="7"/>
        <v>20576.956000000002</v>
      </c>
      <c r="BY61" s="27">
        <f t="shared" si="8"/>
        <v>4.3999999998050043E-2</v>
      </c>
      <c r="CA61" s="86">
        <f t="shared" si="9"/>
        <v>50000.08</v>
      </c>
      <c r="CB61" t="s">
        <v>12</v>
      </c>
      <c r="CC61" t="s">
        <v>12</v>
      </c>
    </row>
    <row r="62" spans="1:82" x14ac:dyDescent="0.25">
      <c r="A62" s="71">
        <f t="shared" si="10"/>
        <v>58</v>
      </c>
      <c r="B62" s="12" t="s">
        <v>25</v>
      </c>
      <c r="C62" s="48"/>
      <c r="D62" s="48"/>
      <c r="E62" s="48"/>
      <c r="F62" s="48">
        <v>2815.45</v>
      </c>
      <c r="G62" s="48"/>
      <c r="H62" s="48">
        <v>6500</v>
      </c>
      <c r="I62" s="48"/>
      <c r="J62" s="48"/>
      <c r="K62" s="48"/>
      <c r="L62" s="48"/>
      <c r="M62" s="48"/>
      <c r="N62" s="48">
        <v>2212.04</v>
      </c>
      <c r="O62" s="48">
        <v>1434.8</v>
      </c>
      <c r="P62" s="48"/>
      <c r="Q62" s="37">
        <f t="shared" si="2"/>
        <v>12962.29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>
        <v>6069.66</v>
      </c>
      <c r="AE62" s="34">
        <v>4434.8</v>
      </c>
      <c r="AF62" s="34">
        <v>2688.81</v>
      </c>
      <c r="AG62" s="37">
        <f t="shared" si="3"/>
        <v>13193.269999999999</v>
      </c>
      <c r="AH62" s="62">
        <v>0</v>
      </c>
      <c r="AI62" s="3">
        <v>0</v>
      </c>
      <c r="AJ62" s="62"/>
      <c r="AK62" s="62"/>
      <c r="AL62" s="62"/>
      <c r="AM62" s="3"/>
      <c r="AN62" s="3"/>
      <c r="AO62" s="3"/>
      <c r="AP62" s="35">
        <f t="shared" si="4"/>
        <v>0</v>
      </c>
      <c r="AQ62" s="3"/>
      <c r="AR62" s="3"/>
      <c r="AS62" s="3"/>
      <c r="AT62" s="3"/>
      <c r="AU62" s="3"/>
      <c r="AV62" s="3">
        <v>1163.8900000000001</v>
      </c>
      <c r="AW62" s="3">
        <v>945.92</v>
      </c>
      <c r="AX62" s="3">
        <f>2225.41+2599.1</f>
        <v>4824.51</v>
      </c>
      <c r="AY62" s="3">
        <v>1434.8</v>
      </c>
      <c r="AZ62" s="35">
        <f t="shared" si="18"/>
        <v>8369.119999999999</v>
      </c>
      <c r="BA62" s="35"/>
      <c r="BB62" s="35"/>
      <c r="BC62" s="35"/>
      <c r="BD62" s="35"/>
      <c r="BE62" s="76"/>
      <c r="BF62" s="76"/>
      <c r="BG62" s="76"/>
      <c r="BH62" s="76"/>
      <c r="BI62" s="76"/>
      <c r="BJ62" s="35"/>
      <c r="BK62" s="19">
        <f t="shared" si="5"/>
        <v>34524.68</v>
      </c>
      <c r="BL62" s="17">
        <v>30.5547</v>
      </c>
      <c r="BM62" s="3">
        <f>+$BL$62*BM2</f>
        <v>2444.3760000000002</v>
      </c>
      <c r="BN62" s="3">
        <f t="shared" ref="BN62:BW62" si="64">+$BL$62*BN2</f>
        <v>2444.3760000000002</v>
      </c>
      <c r="BO62" s="3">
        <f t="shared" si="64"/>
        <v>2444.3760000000002</v>
      </c>
      <c r="BP62" s="3">
        <f t="shared" si="64"/>
        <v>2444.3760000000002</v>
      </c>
      <c r="BQ62" s="3">
        <f t="shared" si="64"/>
        <v>2444.3760000000002</v>
      </c>
      <c r="BR62" s="3">
        <f t="shared" si="64"/>
        <v>2444.3760000000002</v>
      </c>
      <c r="BS62" s="3">
        <f t="shared" si="64"/>
        <v>2444.3760000000002</v>
      </c>
      <c r="BT62" s="3">
        <f t="shared" si="64"/>
        <v>2444.3760000000002</v>
      </c>
      <c r="BU62" s="3">
        <f t="shared" si="64"/>
        <v>2444.3760000000002</v>
      </c>
      <c r="BV62" s="3">
        <f t="shared" si="64"/>
        <v>2444.3760000000002</v>
      </c>
      <c r="BW62" s="3">
        <f t="shared" si="64"/>
        <v>1711.0632000000001</v>
      </c>
      <c r="BX62" s="4">
        <f t="shared" si="7"/>
        <v>26154.823200000003</v>
      </c>
      <c r="BY62" s="27">
        <f t="shared" si="8"/>
        <v>8369.8567999999977</v>
      </c>
      <c r="CA62" s="86">
        <f t="shared" si="9"/>
        <v>63553.775999999998</v>
      </c>
    </row>
    <row r="63" spans="1:82" x14ac:dyDescent="0.25">
      <c r="A63" s="71">
        <v>59</v>
      </c>
      <c r="B63" s="12" t="s">
        <v>39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37">
        <f t="shared" si="2"/>
        <v>0</v>
      </c>
      <c r="R63" s="34"/>
      <c r="S63" s="34"/>
      <c r="T63" s="34"/>
      <c r="U63" s="34"/>
      <c r="V63" s="34">
        <v>16024.98</v>
      </c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7">
        <f t="shared" si="3"/>
        <v>16024.98</v>
      </c>
      <c r="AH63" s="61"/>
      <c r="AI63" s="4"/>
      <c r="AJ63" s="63">
        <v>25538.45</v>
      </c>
      <c r="AK63" s="63">
        <v>0</v>
      </c>
      <c r="AL63" s="61"/>
      <c r="AM63" s="34"/>
      <c r="AN63" s="4"/>
      <c r="AO63" s="4"/>
      <c r="AP63" s="35">
        <f t="shared" si="4"/>
        <v>25538.45</v>
      </c>
      <c r="AQ63" s="3"/>
      <c r="AR63" s="3"/>
      <c r="AS63" s="3"/>
      <c r="AT63" s="3"/>
      <c r="AU63" s="3"/>
      <c r="AV63" s="3"/>
      <c r="AW63" s="3"/>
      <c r="AX63" s="3"/>
      <c r="AY63" s="3"/>
      <c r="AZ63" s="35">
        <f t="shared" si="18"/>
        <v>0</v>
      </c>
      <c r="BA63" s="35"/>
      <c r="BB63" s="35"/>
      <c r="BC63" s="35"/>
      <c r="BD63" s="35"/>
      <c r="BE63" s="75"/>
      <c r="BF63" s="75"/>
      <c r="BG63" s="75"/>
      <c r="BH63" s="75"/>
      <c r="BI63" s="75"/>
      <c r="BJ63" s="37"/>
      <c r="BK63" s="19">
        <f t="shared" si="5"/>
        <v>41563.43</v>
      </c>
      <c r="BL63" s="17">
        <v>24.038499999999999</v>
      </c>
      <c r="BM63" s="3">
        <f t="shared" ref="BM63:BW63" si="65">+$BL$63*BM2</f>
        <v>1923.08</v>
      </c>
      <c r="BN63" s="3">
        <f t="shared" si="65"/>
        <v>1923.08</v>
      </c>
      <c r="BO63" s="3">
        <f t="shared" si="65"/>
        <v>1923.08</v>
      </c>
      <c r="BP63" s="3">
        <f t="shared" si="65"/>
        <v>1923.08</v>
      </c>
      <c r="BQ63" s="3">
        <f t="shared" si="65"/>
        <v>1923.08</v>
      </c>
      <c r="BR63" s="3">
        <f t="shared" si="65"/>
        <v>1923.08</v>
      </c>
      <c r="BS63" s="3">
        <f t="shared" si="65"/>
        <v>1923.08</v>
      </c>
      <c r="BT63" s="3">
        <f t="shared" si="65"/>
        <v>1923.08</v>
      </c>
      <c r="BU63" s="3">
        <f t="shared" si="65"/>
        <v>1923.08</v>
      </c>
      <c r="BV63" s="3">
        <f t="shared" si="65"/>
        <v>1923.08</v>
      </c>
      <c r="BW63" s="3">
        <f t="shared" si="65"/>
        <v>1346.1559999999999</v>
      </c>
      <c r="BX63" s="4">
        <f t="shared" si="7"/>
        <v>20576.956000000002</v>
      </c>
      <c r="BY63" s="45">
        <f t="shared" si="8"/>
        <v>20986.473999999998</v>
      </c>
      <c r="CA63" s="86">
        <f t="shared" si="9"/>
        <v>50000.08</v>
      </c>
    </row>
    <row r="64" spans="1:82" x14ac:dyDescent="0.25">
      <c r="A64" s="71">
        <f t="shared" si="10"/>
        <v>60</v>
      </c>
      <c r="B64" s="12" t="s">
        <v>72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37">
        <f t="shared" si="2"/>
        <v>0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7">
        <f t="shared" si="3"/>
        <v>0</v>
      </c>
      <c r="AH64" s="61"/>
      <c r="AI64" s="4"/>
      <c r="AJ64" s="63"/>
      <c r="AK64" s="63"/>
      <c r="AL64" s="61">
        <v>28486.61</v>
      </c>
      <c r="AM64" s="34"/>
      <c r="AN64" s="4"/>
      <c r="AO64" s="4"/>
      <c r="AP64" s="35">
        <f t="shared" si="4"/>
        <v>28486.61</v>
      </c>
      <c r="AQ64" s="4"/>
      <c r="AR64" s="4"/>
      <c r="AS64" s="4"/>
      <c r="AT64" s="4"/>
      <c r="AU64" s="4"/>
      <c r="AV64" s="4"/>
      <c r="AW64" s="4"/>
      <c r="AX64" s="4"/>
      <c r="AY64" s="4"/>
      <c r="AZ64" s="35">
        <f t="shared" si="18"/>
        <v>0</v>
      </c>
      <c r="BA64" s="35"/>
      <c r="BB64" s="35"/>
      <c r="BC64" s="35"/>
      <c r="BD64" s="35"/>
      <c r="BE64" s="75"/>
      <c r="BF64" s="75"/>
      <c r="BG64" s="75"/>
      <c r="BH64" s="75"/>
      <c r="BI64" s="75"/>
      <c r="BJ64" s="37"/>
      <c r="BK64" s="19">
        <f t="shared" si="5"/>
        <v>28486.61</v>
      </c>
      <c r="BL64" s="16">
        <v>24.038499999999999</v>
      </c>
      <c r="BM64" s="4">
        <f t="shared" ref="BM64:BW64" si="66">+$BL$64*BM2</f>
        <v>1923.08</v>
      </c>
      <c r="BN64" s="4">
        <f t="shared" si="66"/>
        <v>1923.08</v>
      </c>
      <c r="BO64" s="4">
        <f t="shared" si="66"/>
        <v>1923.08</v>
      </c>
      <c r="BP64" s="4">
        <f t="shared" si="66"/>
        <v>1923.08</v>
      </c>
      <c r="BQ64" s="4">
        <f t="shared" si="66"/>
        <v>1923.08</v>
      </c>
      <c r="BR64" s="4">
        <f t="shared" si="66"/>
        <v>1923.08</v>
      </c>
      <c r="BS64" s="4">
        <f t="shared" si="66"/>
        <v>1923.08</v>
      </c>
      <c r="BT64" s="4">
        <f t="shared" si="66"/>
        <v>1923.08</v>
      </c>
      <c r="BU64" s="4">
        <f t="shared" si="66"/>
        <v>1923.08</v>
      </c>
      <c r="BV64" s="4">
        <f t="shared" si="66"/>
        <v>1923.08</v>
      </c>
      <c r="BW64" s="4">
        <f t="shared" si="66"/>
        <v>1346.1559999999999</v>
      </c>
      <c r="BX64" s="4">
        <f t="shared" si="7"/>
        <v>20576.956000000002</v>
      </c>
      <c r="BY64" s="27">
        <f t="shared" si="8"/>
        <v>7909.6539999999986</v>
      </c>
      <c r="CA64" s="86">
        <f t="shared" si="9"/>
        <v>50000.08</v>
      </c>
    </row>
    <row r="65" spans="1:79" x14ac:dyDescent="0.25">
      <c r="A65" s="71">
        <f t="shared" si="10"/>
        <v>61</v>
      </c>
      <c r="B65" s="12" t="s">
        <v>90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37">
        <f t="shared" si="2"/>
        <v>0</v>
      </c>
      <c r="R65" s="34"/>
      <c r="S65" s="34"/>
      <c r="T65" s="34"/>
      <c r="U65" s="34"/>
      <c r="V65" s="34"/>
      <c r="W65" s="34"/>
      <c r="X65" s="34"/>
      <c r="Y65" s="34"/>
      <c r="Z65" s="34">
        <f>3550-4.43</f>
        <v>3545.57</v>
      </c>
      <c r="AA65" s="34"/>
      <c r="AB65" s="34"/>
      <c r="AC65" s="34"/>
      <c r="AD65" s="34"/>
      <c r="AE65" s="34"/>
      <c r="AF65" s="34"/>
      <c r="AG65" s="37">
        <f t="shared" si="3"/>
        <v>3545.57</v>
      </c>
      <c r="AH65" s="61"/>
      <c r="AI65" s="4"/>
      <c r="AJ65" s="63">
        <v>0</v>
      </c>
      <c r="AK65" s="63">
        <v>45098.07</v>
      </c>
      <c r="AL65" s="61"/>
      <c r="AM65" s="34"/>
      <c r="AN65" s="4"/>
      <c r="AO65" s="4"/>
      <c r="AP65" s="35">
        <f t="shared" si="4"/>
        <v>45098.07</v>
      </c>
      <c r="AQ65" s="3"/>
      <c r="AR65" s="3"/>
      <c r="AS65" s="3"/>
      <c r="AT65" s="3"/>
      <c r="AU65" s="3"/>
      <c r="AV65" s="3"/>
      <c r="AW65" s="3"/>
      <c r="AX65" s="3"/>
      <c r="AY65" s="3"/>
      <c r="AZ65" s="35">
        <f t="shared" si="18"/>
        <v>0</v>
      </c>
      <c r="BA65" s="35"/>
      <c r="BB65" s="35"/>
      <c r="BC65" s="35"/>
      <c r="BD65" s="35"/>
      <c r="BE65" s="75"/>
      <c r="BF65" s="75"/>
      <c r="BG65" s="75"/>
      <c r="BH65" s="75"/>
      <c r="BI65" s="75"/>
      <c r="BJ65" s="37"/>
      <c r="BK65" s="19">
        <f t="shared" si="5"/>
        <v>48643.64</v>
      </c>
      <c r="BL65" s="17">
        <v>24.038499999999999</v>
      </c>
      <c r="BM65" s="3">
        <f t="shared" ref="BM65:BW65" si="67">+$BL$65*BM2</f>
        <v>1923.08</v>
      </c>
      <c r="BN65" s="3">
        <f t="shared" si="67"/>
        <v>1923.08</v>
      </c>
      <c r="BO65" s="3">
        <f t="shared" si="67"/>
        <v>1923.08</v>
      </c>
      <c r="BP65" s="3">
        <f t="shared" si="67"/>
        <v>1923.08</v>
      </c>
      <c r="BQ65" s="3">
        <f t="shared" si="67"/>
        <v>1923.08</v>
      </c>
      <c r="BR65" s="3">
        <f t="shared" si="67"/>
        <v>1923.08</v>
      </c>
      <c r="BS65" s="3">
        <f t="shared" si="67"/>
        <v>1923.08</v>
      </c>
      <c r="BT65" s="3">
        <f t="shared" si="67"/>
        <v>1923.08</v>
      </c>
      <c r="BU65" s="3">
        <f t="shared" si="67"/>
        <v>1923.08</v>
      </c>
      <c r="BV65" s="3">
        <f t="shared" si="67"/>
        <v>1923.08</v>
      </c>
      <c r="BW65" s="3">
        <f t="shared" si="67"/>
        <v>1346.1559999999999</v>
      </c>
      <c r="BX65" s="4">
        <f t="shared" si="7"/>
        <v>20576.956000000002</v>
      </c>
      <c r="BY65" s="25">
        <f t="shared" si="8"/>
        <v>28066.683999999997</v>
      </c>
      <c r="CA65" s="86">
        <f t="shared" si="9"/>
        <v>50000.08</v>
      </c>
    </row>
    <row r="66" spans="1:79" x14ac:dyDescent="0.25">
      <c r="A66" s="71">
        <f t="shared" si="10"/>
        <v>62</v>
      </c>
      <c r="B66" s="12" t="s">
        <v>43</v>
      </c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37">
        <f t="shared" si="2"/>
        <v>0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7">
        <f t="shared" si="3"/>
        <v>0</v>
      </c>
      <c r="AH66" s="61"/>
      <c r="AI66" s="4"/>
      <c r="AJ66" s="63"/>
      <c r="AK66" s="63">
        <v>25730.94</v>
      </c>
      <c r="AL66" s="61"/>
      <c r="AM66" s="34"/>
      <c r="AN66" s="4"/>
      <c r="AO66" s="4"/>
      <c r="AP66" s="35">
        <f t="shared" si="4"/>
        <v>25730.94</v>
      </c>
      <c r="AQ66" s="3"/>
      <c r="AR66" s="3"/>
      <c r="AS66" s="3"/>
      <c r="AT66" s="3"/>
      <c r="AU66" s="3"/>
      <c r="AV66" s="3"/>
      <c r="AW66" s="3"/>
      <c r="AX66" s="3"/>
      <c r="AY66" s="3"/>
      <c r="AZ66" s="35">
        <f t="shared" si="18"/>
        <v>0</v>
      </c>
      <c r="BA66" s="35"/>
      <c r="BB66" s="35"/>
      <c r="BC66" s="35"/>
      <c r="BD66" s="35"/>
      <c r="BE66" s="75"/>
      <c r="BF66" s="75"/>
      <c r="BG66" s="75"/>
      <c r="BH66" s="75"/>
      <c r="BI66" s="75"/>
      <c r="BJ66" s="37"/>
      <c r="BK66" s="19">
        <f t="shared" si="5"/>
        <v>25730.94</v>
      </c>
      <c r="BL66" s="17">
        <v>27.777000000000001</v>
      </c>
      <c r="BM66" s="3">
        <f t="shared" ref="BM66:BW66" si="68">+$BL$66*BM2</f>
        <v>2222.16</v>
      </c>
      <c r="BN66" s="3">
        <f t="shared" si="68"/>
        <v>2222.16</v>
      </c>
      <c r="BO66" s="3">
        <f t="shared" si="68"/>
        <v>2222.16</v>
      </c>
      <c r="BP66" s="3">
        <f t="shared" si="68"/>
        <v>2222.16</v>
      </c>
      <c r="BQ66" s="3">
        <f t="shared" si="68"/>
        <v>2222.16</v>
      </c>
      <c r="BR66" s="3">
        <f t="shared" si="68"/>
        <v>2222.16</v>
      </c>
      <c r="BS66" s="3">
        <f t="shared" si="68"/>
        <v>2222.16</v>
      </c>
      <c r="BT66" s="3">
        <f t="shared" si="68"/>
        <v>2222.16</v>
      </c>
      <c r="BU66" s="3">
        <f t="shared" si="68"/>
        <v>2222.16</v>
      </c>
      <c r="BV66" s="3">
        <f t="shared" si="68"/>
        <v>2222.16</v>
      </c>
      <c r="BW66" s="3">
        <f t="shared" si="68"/>
        <v>1555.5120000000002</v>
      </c>
      <c r="BX66" s="4">
        <f t="shared" si="7"/>
        <v>23777.111999999997</v>
      </c>
      <c r="BY66" s="25">
        <f t="shared" si="8"/>
        <v>1953.8280000000013</v>
      </c>
      <c r="CA66" s="86">
        <f t="shared" si="9"/>
        <v>57776.160000000003</v>
      </c>
    </row>
    <row r="67" spans="1:79" x14ac:dyDescent="0.25">
      <c r="A67" s="71">
        <v>63</v>
      </c>
      <c r="B67" s="12" t="s">
        <v>88</v>
      </c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37">
        <f t="shared" si="2"/>
        <v>0</v>
      </c>
      <c r="R67" s="34">
        <v>24068.23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>
        <v>2143.34</v>
      </c>
      <c r="AD67" s="34"/>
      <c r="AE67" s="34"/>
      <c r="AF67" s="34"/>
      <c r="AG67" s="37">
        <f t="shared" si="3"/>
        <v>26211.57</v>
      </c>
      <c r="AH67" s="61"/>
      <c r="AI67" s="4"/>
      <c r="AJ67" s="63"/>
      <c r="AK67" s="63"/>
      <c r="AL67" s="61"/>
      <c r="AM67" s="34"/>
      <c r="AN67" s="4"/>
      <c r="AO67" s="4"/>
      <c r="AP67" s="35">
        <f t="shared" si="4"/>
        <v>0</v>
      </c>
      <c r="AQ67" s="4"/>
      <c r="AR67" s="4"/>
      <c r="AS67" s="4"/>
      <c r="AT67" s="4"/>
      <c r="AU67" s="4"/>
      <c r="AV67" s="4"/>
      <c r="AW67" s="4"/>
      <c r="AX67" s="4"/>
      <c r="AY67" s="4"/>
      <c r="AZ67" s="35">
        <f t="shared" si="18"/>
        <v>0</v>
      </c>
      <c r="BA67" s="35"/>
      <c r="BB67" s="35"/>
      <c r="BC67" s="35"/>
      <c r="BD67" s="35"/>
      <c r="BE67" s="75"/>
      <c r="BF67" s="75"/>
      <c r="BG67" s="75"/>
      <c r="BH67" s="75"/>
      <c r="BI67" s="75"/>
      <c r="BJ67" s="37"/>
      <c r="BK67" s="19">
        <f t="shared" si="5"/>
        <v>26211.57</v>
      </c>
      <c r="BL67" s="16">
        <v>24.038499999999999</v>
      </c>
      <c r="BM67" s="4">
        <f t="shared" ref="BM67:BW67" si="69">+$BL$67*BM2</f>
        <v>1923.08</v>
      </c>
      <c r="BN67" s="4">
        <f t="shared" si="69"/>
        <v>1923.08</v>
      </c>
      <c r="BO67" s="4">
        <f t="shared" si="69"/>
        <v>1923.08</v>
      </c>
      <c r="BP67" s="4">
        <f t="shared" si="69"/>
        <v>1923.08</v>
      </c>
      <c r="BQ67" s="4">
        <f t="shared" si="69"/>
        <v>1923.08</v>
      </c>
      <c r="BR67" s="4">
        <f t="shared" si="69"/>
        <v>1923.08</v>
      </c>
      <c r="BS67" s="4">
        <f t="shared" si="69"/>
        <v>1923.08</v>
      </c>
      <c r="BT67" s="4">
        <f t="shared" si="69"/>
        <v>1923.08</v>
      </c>
      <c r="BU67" s="4">
        <f t="shared" si="69"/>
        <v>1923.08</v>
      </c>
      <c r="BV67" s="4">
        <f t="shared" si="69"/>
        <v>1923.08</v>
      </c>
      <c r="BW67" s="4">
        <f t="shared" si="69"/>
        <v>1346.1559999999999</v>
      </c>
      <c r="BX67" s="4">
        <f t="shared" si="7"/>
        <v>20576.956000000002</v>
      </c>
      <c r="BY67" s="27">
        <f t="shared" si="8"/>
        <v>5634.6139999999978</v>
      </c>
      <c r="CA67" s="86">
        <f t="shared" si="9"/>
        <v>50000.08</v>
      </c>
    </row>
    <row r="68" spans="1:79" x14ac:dyDescent="0.25">
      <c r="A68" s="71">
        <f t="shared" si="10"/>
        <v>64</v>
      </c>
      <c r="B68" s="69" t="s">
        <v>102</v>
      </c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37">
        <f t="shared" si="2"/>
        <v>0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7">
        <f t="shared" si="3"/>
        <v>0</v>
      </c>
      <c r="AH68" s="62"/>
      <c r="AI68" s="3"/>
      <c r="AJ68" s="62"/>
      <c r="AK68" s="62"/>
      <c r="AL68" s="62"/>
      <c r="AM68" s="3"/>
      <c r="AN68" s="3"/>
      <c r="AO68" s="3"/>
      <c r="AP68" s="35">
        <f t="shared" si="4"/>
        <v>0</v>
      </c>
      <c r="AQ68" s="3"/>
      <c r="AR68" s="3">
        <v>732</v>
      </c>
      <c r="AS68" s="3"/>
      <c r="AT68" s="3">
        <v>38301</v>
      </c>
      <c r="AU68" s="3"/>
      <c r="AV68" s="3"/>
      <c r="AW68" s="3"/>
      <c r="AX68" s="3"/>
      <c r="AY68" s="3"/>
      <c r="AZ68" s="35">
        <f t="shared" si="18"/>
        <v>39033</v>
      </c>
      <c r="BA68" s="35"/>
      <c r="BB68" s="35"/>
      <c r="BC68" s="35">
        <v>499.99</v>
      </c>
      <c r="BD68" s="73">
        <v>5199.8500000000004</v>
      </c>
      <c r="BE68" s="76"/>
      <c r="BF68" s="76"/>
      <c r="BG68" s="76"/>
      <c r="BH68" s="76"/>
      <c r="BI68" s="76"/>
      <c r="BJ68" s="35"/>
      <c r="BK68" s="19">
        <f t="shared" si="5"/>
        <v>44732.84</v>
      </c>
      <c r="BL68" s="17">
        <v>33.3324</v>
      </c>
      <c r="BM68" s="3">
        <f t="shared" ref="BM68:BW68" si="70">+$BL$68*BM2</f>
        <v>2666.5920000000001</v>
      </c>
      <c r="BN68" s="3">
        <f t="shared" si="70"/>
        <v>2666.5920000000001</v>
      </c>
      <c r="BO68" s="3">
        <f t="shared" si="70"/>
        <v>2666.5920000000001</v>
      </c>
      <c r="BP68" s="3">
        <f t="shared" si="70"/>
        <v>2666.5920000000001</v>
      </c>
      <c r="BQ68" s="3">
        <f t="shared" si="70"/>
        <v>2666.5920000000001</v>
      </c>
      <c r="BR68" s="3">
        <f t="shared" si="70"/>
        <v>2666.5920000000001</v>
      </c>
      <c r="BS68" s="3">
        <f t="shared" si="70"/>
        <v>2666.5920000000001</v>
      </c>
      <c r="BT68" s="3">
        <f t="shared" si="70"/>
        <v>2666.5920000000001</v>
      </c>
      <c r="BU68" s="3">
        <f t="shared" si="70"/>
        <v>2666.5920000000001</v>
      </c>
      <c r="BV68" s="3">
        <f t="shared" si="70"/>
        <v>2666.5920000000001</v>
      </c>
      <c r="BW68" s="3">
        <f t="shared" si="70"/>
        <v>1866.6143999999999</v>
      </c>
      <c r="BX68" s="4">
        <f t="shared" si="7"/>
        <v>28532.5344</v>
      </c>
      <c r="BY68" s="25">
        <f t="shared" si="8"/>
        <v>16200.305599999996</v>
      </c>
      <c r="CA68" s="86">
        <f t="shared" si="9"/>
        <v>69331.391999999993</v>
      </c>
    </row>
    <row r="69" spans="1:79" x14ac:dyDescent="0.25">
      <c r="A69" s="71">
        <f t="shared" si="10"/>
        <v>65</v>
      </c>
      <c r="B69" s="12" t="s">
        <v>45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37">
        <f t="shared" si="2"/>
        <v>0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7">
        <f t="shared" si="3"/>
        <v>0</v>
      </c>
      <c r="AH69" s="62"/>
      <c r="AI69" s="3"/>
      <c r="AJ69" s="62"/>
      <c r="AK69" s="62"/>
      <c r="AL69" s="62"/>
      <c r="AM69" s="3"/>
      <c r="AN69" s="3"/>
      <c r="AO69" s="3"/>
      <c r="AP69" s="35">
        <f t="shared" si="4"/>
        <v>0</v>
      </c>
      <c r="AQ69" s="3">
        <f>19509.59+300</f>
        <v>19809.59</v>
      </c>
      <c r="AR69" s="3"/>
      <c r="AS69" s="3">
        <v>6500</v>
      </c>
      <c r="AT69" s="3"/>
      <c r="AU69" s="3"/>
      <c r="AV69" s="3"/>
      <c r="AW69" s="3"/>
      <c r="AX69" s="3"/>
      <c r="AY69" s="3"/>
      <c r="AZ69" s="35">
        <f t="shared" si="18"/>
        <v>26309.59</v>
      </c>
      <c r="BA69" s="35"/>
      <c r="BB69" s="35"/>
      <c r="BC69" s="35"/>
      <c r="BD69" s="35"/>
      <c r="BE69" s="76">
        <v>0</v>
      </c>
      <c r="BF69" s="76"/>
      <c r="BG69" s="76"/>
      <c r="BH69" s="76"/>
      <c r="BI69" s="76"/>
      <c r="BJ69" s="35"/>
      <c r="BK69" s="19">
        <f t="shared" si="5"/>
        <v>26309.59</v>
      </c>
      <c r="BL69" s="17">
        <v>30.7212</v>
      </c>
      <c r="BM69" s="3">
        <f t="shared" ref="BM69:BW69" si="71">+$BL$69*BM2</f>
        <v>2457.6959999999999</v>
      </c>
      <c r="BN69" s="3">
        <f t="shared" si="71"/>
        <v>2457.6959999999999</v>
      </c>
      <c r="BO69" s="3">
        <f t="shared" si="71"/>
        <v>2457.6959999999999</v>
      </c>
      <c r="BP69" s="3">
        <f t="shared" si="71"/>
        <v>2457.6959999999999</v>
      </c>
      <c r="BQ69" s="3">
        <f t="shared" si="71"/>
        <v>2457.6959999999999</v>
      </c>
      <c r="BR69" s="3">
        <f t="shared" si="71"/>
        <v>2457.6959999999999</v>
      </c>
      <c r="BS69" s="3">
        <f t="shared" si="71"/>
        <v>2457.6959999999999</v>
      </c>
      <c r="BT69" s="3">
        <f t="shared" si="71"/>
        <v>2457.6959999999999</v>
      </c>
      <c r="BU69" s="3">
        <f t="shared" si="71"/>
        <v>2457.6959999999999</v>
      </c>
      <c r="BV69" s="3">
        <f t="shared" si="71"/>
        <v>2457.6959999999999</v>
      </c>
      <c r="BW69" s="3">
        <f t="shared" si="71"/>
        <v>1720.3871999999999</v>
      </c>
      <c r="BX69" s="4">
        <f t="shared" si="7"/>
        <v>26297.3472</v>
      </c>
      <c r="BY69" s="27">
        <f t="shared" si="8"/>
        <v>12.242799999999988</v>
      </c>
      <c r="CA69" s="86">
        <f t="shared" si="9"/>
        <v>63900.095999999998</v>
      </c>
    </row>
    <row r="70" spans="1:79" x14ac:dyDescent="0.25">
      <c r="A70" s="71">
        <f t="shared" si="10"/>
        <v>66</v>
      </c>
      <c r="B70" s="12" t="s">
        <v>69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37">
        <f t="shared" si="2"/>
        <v>0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7">
        <f t="shared" si="3"/>
        <v>0</v>
      </c>
      <c r="AH70" s="61"/>
      <c r="AI70" s="4">
        <v>26686.63</v>
      </c>
      <c r="AJ70" s="63"/>
      <c r="AK70" s="63"/>
      <c r="AL70" s="61"/>
      <c r="AM70" s="34"/>
      <c r="AN70" s="4"/>
      <c r="AO70" s="4"/>
      <c r="AP70" s="35">
        <f t="shared" si="4"/>
        <v>26686.63</v>
      </c>
      <c r="AQ70" s="4"/>
      <c r="AR70" s="4"/>
      <c r="AS70" s="4"/>
      <c r="AT70" s="4"/>
      <c r="AU70" s="4"/>
      <c r="AV70" s="4"/>
      <c r="AW70" s="4"/>
      <c r="AX70" s="4"/>
      <c r="AY70" s="4"/>
      <c r="AZ70" s="35">
        <f t="shared" si="18"/>
        <v>0</v>
      </c>
      <c r="BA70" s="35"/>
      <c r="BB70" s="35"/>
      <c r="BC70" s="35"/>
      <c r="BD70" s="35"/>
      <c r="BE70" s="75"/>
      <c r="BF70" s="75"/>
      <c r="BG70" s="75"/>
      <c r="BH70" s="75"/>
      <c r="BI70" s="75"/>
      <c r="BJ70" s="37"/>
      <c r="BK70" s="19">
        <f t="shared" si="5"/>
        <v>26686.63</v>
      </c>
      <c r="BL70" s="16">
        <v>25.600999999999999</v>
      </c>
      <c r="BM70" s="4">
        <f t="shared" ref="BM70:BW70" si="72">+$BL$70*BM2</f>
        <v>2048.08</v>
      </c>
      <c r="BN70" s="4">
        <f t="shared" si="72"/>
        <v>2048.08</v>
      </c>
      <c r="BO70" s="4">
        <f t="shared" si="72"/>
        <v>2048.08</v>
      </c>
      <c r="BP70" s="4">
        <f t="shared" si="72"/>
        <v>2048.08</v>
      </c>
      <c r="BQ70" s="4">
        <f t="shared" si="72"/>
        <v>2048.08</v>
      </c>
      <c r="BR70" s="4">
        <f t="shared" si="72"/>
        <v>2048.08</v>
      </c>
      <c r="BS70" s="4">
        <f t="shared" si="72"/>
        <v>2048.08</v>
      </c>
      <c r="BT70" s="4">
        <f t="shared" si="72"/>
        <v>2048.08</v>
      </c>
      <c r="BU70" s="4">
        <f t="shared" si="72"/>
        <v>2048.08</v>
      </c>
      <c r="BV70" s="4">
        <f t="shared" si="72"/>
        <v>2048.08</v>
      </c>
      <c r="BW70" s="4">
        <f t="shared" si="72"/>
        <v>1433.6559999999999</v>
      </c>
      <c r="BX70" s="4">
        <f t="shared" si="7"/>
        <v>21914.456000000002</v>
      </c>
      <c r="BY70" s="27">
        <f t="shared" si="8"/>
        <v>4772.1739999999991</v>
      </c>
      <c r="CA70" s="86">
        <f t="shared" ref="CA70:CA87" si="73">+BL70*2080</f>
        <v>53250.080000000002</v>
      </c>
    </row>
    <row r="71" spans="1:79" x14ac:dyDescent="0.25">
      <c r="A71" s="71">
        <f t="shared" si="10"/>
        <v>67</v>
      </c>
      <c r="B71" s="70" t="s">
        <v>103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37">
        <f t="shared" si="2"/>
        <v>0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3">
        <v>28785.759999999998</v>
      </c>
      <c r="AD71" s="34"/>
      <c r="AE71" s="34"/>
      <c r="AF71" s="34"/>
      <c r="AG71" s="37">
        <f t="shared" si="3"/>
        <v>28785.759999999998</v>
      </c>
      <c r="AH71" s="61"/>
      <c r="AI71" s="4"/>
      <c r="AJ71" s="63"/>
      <c r="AK71" s="63"/>
      <c r="AL71" s="61"/>
      <c r="AM71" s="34"/>
      <c r="AN71" s="4"/>
      <c r="AO71" s="4"/>
      <c r="AP71" s="35">
        <f t="shared" si="4"/>
        <v>0</v>
      </c>
      <c r="AQ71" s="4"/>
      <c r="AR71" s="4"/>
      <c r="AS71" s="4"/>
      <c r="AT71" s="4"/>
      <c r="AU71" s="4"/>
      <c r="AV71" s="4"/>
      <c r="AW71" s="4"/>
      <c r="AX71" s="4"/>
      <c r="AY71" s="4"/>
      <c r="AZ71" s="35"/>
      <c r="BA71" s="35"/>
      <c r="BB71" s="35"/>
      <c r="BC71" s="35"/>
      <c r="BD71" s="35"/>
      <c r="BE71" s="75"/>
      <c r="BF71" s="75"/>
      <c r="BG71" s="75"/>
      <c r="BH71" s="75"/>
      <c r="BI71" s="75"/>
      <c r="BJ71" s="37"/>
      <c r="BK71" s="42">
        <f t="shared" si="5"/>
        <v>28785.759999999998</v>
      </c>
      <c r="BL71" s="16">
        <v>0</v>
      </c>
      <c r="BM71" s="38">
        <v>0</v>
      </c>
      <c r="BN71" s="38">
        <v>0</v>
      </c>
      <c r="BO71" s="38">
        <v>0</v>
      </c>
      <c r="BP71" s="38">
        <v>0</v>
      </c>
      <c r="BQ71" s="38">
        <v>0</v>
      </c>
      <c r="BR71" s="38">
        <v>0</v>
      </c>
      <c r="BS71" s="38">
        <v>0</v>
      </c>
      <c r="BT71" s="38">
        <v>0</v>
      </c>
      <c r="BU71" s="38">
        <v>0</v>
      </c>
      <c r="BV71" s="38">
        <v>0</v>
      </c>
      <c r="BW71" s="38">
        <v>0</v>
      </c>
      <c r="BX71" s="38">
        <f>SUM(BM71:BW71)</f>
        <v>0</v>
      </c>
      <c r="BY71" s="28">
        <f>+BK71-BX71</f>
        <v>28785.759999999998</v>
      </c>
      <c r="CA71" s="86">
        <f t="shared" si="73"/>
        <v>0</v>
      </c>
    </row>
    <row r="72" spans="1:79" x14ac:dyDescent="0.25">
      <c r="A72" s="71">
        <f t="shared" si="10"/>
        <v>68</v>
      </c>
      <c r="B72" s="12" t="s">
        <v>37</v>
      </c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37">
        <f t="shared" ref="Q72:Q87" si="74">SUM(C72:P72)</f>
        <v>0</v>
      </c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7">
        <f t="shared" ref="AG72:AG87" si="75">SUM(R72:AF72)</f>
        <v>0</v>
      </c>
      <c r="AH72" s="61"/>
      <c r="AI72" s="4"/>
      <c r="AJ72" s="63"/>
      <c r="AK72" s="63">
        <v>33184.74</v>
      </c>
      <c r="AL72" s="61"/>
      <c r="AM72" s="34"/>
      <c r="AN72" s="4"/>
      <c r="AO72" s="4"/>
      <c r="AP72" s="35">
        <f t="shared" ref="AP72:AP87" si="76">SUM(AH72:AO72)</f>
        <v>33184.74</v>
      </c>
      <c r="AQ72" s="3"/>
      <c r="AR72" s="3"/>
      <c r="AS72" s="3"/>
      <c r="AT72" s="3"/>
      <c r="AU72" s="3"/>
      <c r="AV72" s="3"/>
      <c r="AW72" s="3"/>
      <c r="AX72" s="3"/>
      <c r="AY72" s="3"/>
      <c r="AZ72" s="35">
        <f t="shared" si="18"/>
        <v>0</v>
      </c>
      <c r="BA72" s="35"/>
      <c r="BB72" s="35"/>
      <c r="BC72" s="35"/>
      <c r="BD72" s="35"/>
      <c r="BE72" s="75"/>
      <c r="BF72" s="75"/>
      <c r="BG72" s="75"/>
      <c r="BH72" s="75"/>
      <c r="BI72" s="75"/>
      <c r="BJ72" s="37"/>
      <c r="BK72" s="19">
        <f t="shared" si="5"/>
        <v>33184.74</v>
      </c>
      <c r="BL72" s="17">
        <v>33.281300000000002</v>
      </c>
      <c r="BM72" s="3">
        <f t="shared" ref="BM72:BW72" si="77">+$BL$72*BM2</f>
        <v>2662.5039999999999</v>
      </c>
      <c r="BN72" s="3">
        <f t="shared" si="77"/>
        <v>2662.5039999999999</v>
      </c>
      <c r="BO72" s="3">
        <f t="shared" si="77"/>
        <v>2662.5039999999999</v>
      </c>
      <c r="BP72" s="3">
        <f t="shared" si="77"/>
        <v>2662.5039999999999</v>
      </c>
      <c r="BQ72" s="3">
        <f t="shared" si="77"/>
        <v>2662.5039999999999</v>
      </c>
      <c r="BR72" s="3">
        <f t="shared" si="77"/>
        <v>2662.5039999999999</v>
      </c>
      <c r="BS72" s="3">
        <f t="shared" si="77"/>
        <v>2662.5039999999999</v>
      </c>
      <c r="BT72" s="3">
        <f t="shared" si="77"/>
        <v>2662.5039999999999</v>
      </c>
      <c r="BU72" s="3">
        <f t="shared" si="77"/>
        <v>2662.5039999999999</v>
      </c>
      <c r="BV72" s="3">
        <f t="shared" si="77"/>
        <v>2662.5039999999999</v>
      </c>
      <c r="BW72" s="3">
        <f t="shared" si="77"/>
        <v>1863.7528000000002</v>
      </c>
      <c r="BX72" s="4">
        <f t="shared" si="7"/>
        <v>28488.792800000003</v>
      </c>
      <c r="BY72" s="25">
        <f t="shared" si="8"/>
        <v>4695.9471999999951</v>
      </c>
      <c r="CA72" s="86">
        <f t="shared" si="73"/>
        <v>69225.104000000007</v>
      </c>
    </row>
    <row r="73" spans="1:79" x14ac:dyDescent="0.25">
      <c r="A73" s="71">
        <f t="shared" ref="A73:A87" si="78">+A72+1</f>
        <v>69</v>
      </c>
      <c r="B73" s="12" t="s">
        <v>41</v>
      </c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37">
        <f t="shared" si="74"/>
        <v>0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7">
        <f t="shared" si="75"/>
        <v>0</v>
      </c>
      <c r="AH73" s="61"/>
      <c r="AI73" s="4"/>
      <c r="AJ73" s="63"/>
      <c r="AK73" s="63">
        <v>21730.77</v>
      </c>
      <c r="AL73" s="61"/>
      <c r="AM73" s="34"/>
      <c r="AN73" s="4"/>
      <c r="AO73" s="4"/>
      <c r="AP73" s="35">
        <f t="shared" si="76"/>
        <v>21730.77</v>
      </c>
      <c r="AQ73" s="3"/>
      <c r="AR73" s="3"/>
      <c r="AS73" s="3"/>
      <c r="AT73" s="3"/>
      <c r="AU73" s="3"/>
      <c r="AV73" s="3"/>
      <c r="AW73" s="3"/>
      <c r="AX73" s="3"/>
      <c r="AY73" s="3"/>
      <c r="AZ73" s="35">
        <f t="shared" si="18"/>
        <v>0</v>
      </c>
      <c r="BA73" s="35">
        <v>6500</v>
      </c>
      <c r="BB73" s="35">
        <v>769.24</v>
      </c>
      <c r="BC73" s="35"/>
      <c r="BD73" s="35"/>
      <c r="BE73" s="75"/>
      <c r="BF73" s="75"/>
      <c r="BG73" s="75"/>
      <c r="BH73" s="75"/>
      <c r="BI73" s="75"/>
      <c r="BJ73" s="37"/>
      <c r="BK73" s="19">
        <f t="shared" ref="BK73:BK87" si="79">+Q73+AP73+AZ73+BE73+BH73+BI73+BJ73+BG73+AG73+BF73+BA73+BD73+BB73+BC73</f>
        <v>29000.010000000002</v>
      </c>
      <c r="BL73" s="17">
        <v>24.038499999999999</v>
      </c>
      <c r="BM73" s="3">
        <f t="shared" ref="BM73:BW73" si="80">+$BL$73*BM2</f>
        <v>1923.08</v>
      </c>
      <c r="BN73" s="3">
        <f t="shared" si="80"/>
        <v>1923.08</v>
      </c>
      <c r="BO73" s="3">
        <f t="shared" si="80"/>
        <v>1923.08</v>
      </c>
      <c r="BP73" s="3">
        <f t="shared" si="80"/>
        <v>1923.08</v>
      </c>
      <c r="BQ73" s="3">
        <f t="shared" si="80"/>
        <v>1923.08</v>
      </c>
      <c r="BR73" s="3">
        <f t="shared" si="80"/>
        <v>1923.08</v>
      </c>
      <c r="BS73" s="3">
        <f t="shared" si="80"/>
        <v>1923.08</v>
      </c>
      <c r="BT73" s="3">
        <f t="shared" si="80"/>
        <v>1923.08</v>
      </c>
      <c r="BU73" s="3">
        <f t="shared" si="80"/>
        <v>1923.08</v>
      </c>
      <c r="BV73" s="3">
        <f t="shared" si="80"/>
        <v>1923.08</v>
      </c>
      <c r="BW73" s="3">
        <f t="shared" si="80"/>
        <v>1346.1559999999999</v>
      </c>
      <c r="BX73" s="4">
        <f t="shared" si="7"/>
        <v>20576.956000000002</v>
      </c>
      <c r="BY73" s="27">
        <f t="shared" si="8"/>
        <v>8423.0540000000001</v>
      </c>
      <c r="CA73" s="86">
        <f t="shared" si="73"/>
        <v>50000.08</v>
      </c>
    </row>
    <row r="74" spans="1:79" x14ac:dyDescent="0.25">
      <c r="A74" s="71">
        <f t="shared" si="78"/>
        <v>70</v>
      </c>
      <c r="B74" s="12" t="s">
        <v>34</v>
      </c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37">
        <f t="shared" si="74"/>
        <v>0</v>
      </c>
      <c r="R74" s="34"/>
      <c r="S74" s="34"/>
      <c r="T74" s="34"/>
      <c r="U74" s="34">
        <v>153.37</v>
      </c>
      <c r="V74" s="34">
        <v>7238.37</v>
      </c>
      <c r="W74" s="34"/>
      <c r="X74" s="34"/>
      <c r="Y74" s="34"/>
      <c r="Z74" s="34"/>
      <c r="AA74" s="34">
        <v>3388.83</v>
      </c>
      <c r="AB74" s="34"/>
      <c r="AC74" s="34"/>
      <c r="AD74" s="34">
        <v>3759.46</v>
      </c>
      <c r="AE74" s="34">
        <v>6786.94</v>
      </c>
      <c r="AF74" s="34">
        <v>5000</v>
      </c>
      <c r="AG74" s="37">
        <f t="shared" si="75"/>
        <v>26326.969999999998</v>
      </c>
      <c r="AH74" s="61"/>
      <c r="AI74" s="4"/>
      <c r="AJ74" s="63">
        <v>8076.92</v>
      </c>
      <c r="AK74" s="63"/>
      <c r="AL74" s="61"/>
      <c r="AM74" s="34">
        <v>30795.61</v>
      </c>
      <c r="AN74" s="4"/>
      <c r="AO74" s="4"/>
      <c r="AP74" s="35">
        <f t="shared" si="76"/>
        <v>38872.53</v>
      </c>
      <c r="AQ74" s="3"/>
      <c r="AR74" s="3"/>
      <c r="AS74" s="3"/>
      <c r="AT74" s="3"/>
      <c r="AU74" s="3"/>
      <c r="AV74" s="3"/>
      <c r="AW74" s="3"/>
      <c r="AX74" s="3"/>
      <c r="AY74" s="3"/>
      <c r="AZ74" s="35">
        <f t="shared" si="18"/>
        <v>0</v>
      </c>
      <c r="BA74" s="35"/>
      <c r="BB74" s="35"/>
      <c r="BC74" s="35"/>
      <c r="BD74" s="35"/>
      <c r="BE74" s="75"/>
      <c r="BF74" s="75"/>
      <c r="BG74" s="75"/>
      <c r="BH74" s="75"/>
      <c r="BI74" s="75"/>
      <c r="BJ74" s="37"/>
      <c r="BK74" s="19">
        <f t="shared" si="79"/>
        <v>65199.5</v>
      </c>
      <c r="BL74" s="17">
        <v>24.038499999999999</v>
      </c>
      <c r="BM74" s="3">
        <f t="shared" ref="BM74:BW74" si="81">+$BL$74*BM2</f>
        <v>1923.08</v>
      </c>
      <c r="BN74" s="3">
        <f t="shared" si="81"/>
        <v>1923.08</v>
      </c>
      <c r="BO74" s="3">
        <f t="shared" si="81"/>
        <v>1923.08</v>
      </c>
      <c r="BP74" s="3">
        <f t="shared" si="81"/>
        <v>1923.08</v>
      </c>
      <c r="BQ74" s="3">
        <f t="shared" si="81"/>
        <v>1923.08</v>
      </c>
      <c r="BR74" s="3">
        <f t="shared" si="81"/>
        <v>1923.08</v>
      </c>
      <c r="BS74" s="3">
        <f t="shared" si="81"/>
        <v>1923.08</v>
      </c>
      <c r="BT74" s="3">
        <f t="shared" si="81"/>
        <v>1923.08</v>
      </c>
      <c r="BU74" s="3">
        <f t="shared" si="81"/>
        <v>1923.08</v>
      </c>
      <c r="BV74" s="3">
        <f t="shared" si="81"/>
        <v>1923.08</v>
      </c>
      <c r="BW74" s="3">
        <f t="shared" si="81"/>
        <v>1346.1559999999999</v>
      </c>
      <c r="BX74" s="4">
        <f t="shared" si="7"/>
        <v>20576.956000000002</v>
      </c>
      <c r="BY74" s="58">
        <f t="shared" si="8"/>
        <v>44622.543999999994</v>
      </c>
      <c r="CA74" s="86">
        <f t="shared" si="73"/>
        <v>50000.08</v>
      </c>
    </row>
    <row r="75" spans="1:79" x14ac:dyDescent="0.25">
      <c r="A75" s="71">
        <f t="shared" si="78"/>
        <v>71</v>
      </c>
      <c r="B75" s="11" t="s">
        <v>16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>
        <v>5400</v>
      </c>
      <c r="O75" s="49">
        <v>2700</v>
      </c>
      <c r="P75" s="49"/>
      <c r="Q75" s="37">
        <f t="shared" si="74"/>
        <v>8100</v>
      </c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>
        <v>1062.42</v>
      </c>
      <c r="AD75" s="34">
        <v>5400</v>
      </c>
      <c r="AE75" s="34">
        <v>5700</v>
      </c>
      <c r="AF75" s="34">
        <v>5218.01</v>
      </c>
      <c r="AG75" s="37">
        <f t="shared" si="75"/>
        <v>17380.43</v>
      </c>
      <c r="AH75" s="62">
        <v>0</v>
      </c>
      <c r="AI75" s="3">
        <v>0</v>
      </c>
      <c r="AJ75" s="62">
        <v>750</v>
      </c>
      <c r="AK75" s="62">
        <v>3000</v>
      </c>
      <c r="AL75" s="62">
        <v>1350</v>
      </c>
      <c r="AM75" s="3">
        <f>3192.38-2301.15</f>
        <v>891.23</v>
      </c>
      <c r="AN75" s="3"/>
      <c r="AO75" s="3">
        <f>3592.42-23.79</f>
        <v>3568.63</v>
      </c>
      <c r="AP75" s="35">
        <f t="shared" si="76"/>
        <v>9559.86</v>
      </c>
      <c r="AQ75" s="3">
        <f>1350-590.91</f>
        <v>759.09</v>
      </c>
      <c r="AR75" s="3">
        <v>1350</v>
      </c>
      <c r="AS75" s="3">
        <f>5737.2</f>
        <v>5737.2</v>
      </c>
      <c r="AT75" s="3">
        <v>3027.85</v>
      </c>
      <c r="AU75" s="3">
        <f>4050-677.86</f>
        <v>3372.14</v>
      </c>
      <c r="AV75" s="62">
        <v>3019.67</v>
      </c>
      <c r="AW75" s="3">
        <f>2700-679.8</f>
        <v>2020.2</v>
      </c>
      <c r="AX75" s="3">
        <v>8791.08</v>
      </c>
      <c r="AY75" s="3">
        <f>2700-350.05</f>
        <v>2349.9499999999998</v>
      </c>
      <c r="AZ75" s="35">
        <f t="shared" si="18"/>
        <v>30427.179999999997</v>
      </c>
      <c r="BA75" s="35">
        <v>521.79999999999995</v>
      </c>
      <c r="BB75" s="35"/>
      <c r="BC75" s="35"/>
      <c r="BD75" s="73">
        <v>2609.0100000000002</v>
      </c>
      <c r="BE75" s="76"/>
      <c r="BF75" s="76"/>
      <c r="BG75" s="76"/>
      <c r="BH75" s="76"/>
      <c r="BI75" s="76">
        <f>3045.52-476.64</f>
        <v>2568.88</v>
      </c>
      <c r="BJ75" s="35">
        <v>0</v>
      </c>
      <c r="BK75" s="19">
        <f t="shared" si="79"/>
        <v>71167.159999999989</v>
      </c>
      <c r="BL75" s="17">
        <v>50.173200000000001</v>
      </c>
      <c r="BM75" s="3">
        <f t="shared" ref="BM75:BW75" si="82">+$BL$75*BM2</f>
        <v>4013.8560000000002</v>
      </c>
      <c r="BN75" s="3">
        <f t="shared" si="82"/>
        <v>4013.8560000000002</v>
      </c>
      <c r="BO75" s="3">
        <f t="shared" si="82"/>
        <v>4013.8560000000002</v>
      </c>
      <c r="BP75" s="3">
        <f t="shared" si="82"/>
        <v>4013.8560000000002</v>
      </c>
      <c r="BQ75" s="3">
        <f t="shared" si="82"/>
        <v>4013.8560000000002</v>
      </c>
      <c r="BR75" s="3">
        <f t="shared" si="82"/>
        <v>4013.8560000000002</v>
      </c>
      <c r="BS75" s="3">
        <f t="shared" si="82"/>
        <v>4013.8560000000002</v>
      </c>
      <c r="BT75" s="3">
        <f t="shared" si="82"/>
        <v>4013.8560000000002</v>
      </c>
      <c r="BU75" s="3">
        <f t="shared" si="82"/>
        <v>4013.8560000000002</v>
      </c>
      <c r="BV75" s="3">
        <f t="shared" si="82"/>
        <v>4013.8560000000002</v>
      </c>
      <c r="BW75" s="3">
        <f t="shared" si="82"/>
        <v>2809.6992</v>
      </c>
      <c r="BX75" s="4">
        <f t="shared" ref="BX75:BX87" si="83">SUM(BM75:BW75)</f>
        <v>42948.259200000008</v>
      </c>
      <c r="BY75" s="25">
        <f t="shared" ref="BY75:BY87" si="84">+BK75-BX75</f>
        <v>28218.900799999981</v>
      </c>
      <c r="CA75" s="86">
        <f t="shared" si="73"/>
        <v>104360.25600000001</v>
      </c>
    </row>
    <row r="76" spans="1:79" x14ac:dyDescent="0.25">
      <c r="A76" s="71">
        <f t="shared" si="78"/>
        <v>72</v>
      </c>
      <c r="B76" s="11" t="s">
        <v>17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>
        <v>3177.26</v>
      </c>
      <c r="N76" s="49">
        <v>230.55</v>
      </c>
      <c r="O76" s="49">
        <v>2118.17</v>
      </c>
      <c r="P76" s="49"/>
      <c r="Q76" s="37">
        <f t="shared" si="74"/>
        <v>5525.9800000000005</v>
      </c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>
        <v>0</v>
      </c>
      <c r="AD76" s="34">
        <v>778.12</v>
      </c>
      <c r="AE76" s="34">
        <v>812.68</v>
      </c>
      <c r="AF76" s="34">
        <v>4564.88</v>
      </c>
      <c r="AG76" s="37">
        <f t="shared" si="75"/>
        <v>6155.68</v>
      </c>
      <c r="AH76" s="62">
        <v>0</v>
      </c>
      <c r="AI76" s="3">
        <v>0</v>
      </c>
      <c r="AJ76" s="62"/>
      <c r="AK76" s="62">
        <v>3215.64</v>
      </c>
      <c r="AL76" s="62">
        <v>1059</v>
      </c>
      <c r="AM76" s="3">
        <v>1469.4</v>
      </c>
      <c r="AN76" s="3"/>
      <c r="AO76" s="3">
        <v>572.22</v>
      </c>
      <c r="AP76" s="35">
        <f t="shared" si="76"/>
        <v>6316.2599999999993</v>
      </c>
      <c r="AQ76" s="3">
        <v>136.88999999999999</v>
      </c>
      <c r="AR76" s="3">
        <v>136.88999999999999</v>
      </c>
      <c r="AS76" s="3">
        <v>6852.5</v>
      </c>
      <c r="AT76" s="3">
        <v>6074.97</v>
      </c>
      <c r="AU76" s="3">
        <v>2716.16</v>
      </c>
      <c r="AV76" s="62">
        <v>6643.88</v>
      </c>
      <c r="AW76" s="3">
        <v>2118.17</v>
      </c>
      <c r="AX76" s="3">
        <v>8472.69</v>
      </c>
      <c r="AY76" s="3">
        <v>734.88</v>
      </c>
      <c r="AZ76" s="35">
        <f t="shared" si="18"/>
        <v>33887.03</v>
      </c>
      <c r="BA76" s="35">
        <v>479.54</v>
      </c>
      <c r="BB76" s="35"/>
      <c r="BC76" s="35"/>
      <c r="BD76" s="73">
        <v>2397.71</v>
      </c>
      <c r="BE76" s="76"/>
      <c r="BF76" s="76"/>
      <c r="BG76" s="76"/>
      <c r="BH76" s="76"/>
      <c r="BI76" s="76">
        <v>146.83000000000001</v>
      </c>
      <c r="BJ76" s="35"/>
      <c r="BK76" s="19">
        <f t="shared" si="79"/>
        <v>54909.03</v>
      </c>
      <c r="BL76" s="17">
        <v>46.109900000000003</v>
      </c>
      <c r="BM76" s="3">
        <f t="shared" ref="BM76:BW76" si="85">+$BL$76*BM2</f>
        <v>3688.7920000000004</v>
      </c>
      <c r="BN76" s="3">
        <f t="shared" si="85"/>
        <v>3688.7920000000004</v>
      </c>
      <c r="BO76" s="3">
        <f t="shared" si="85"/>
        <v>3688.7920000000004</v>
      </c>
      <c r="BP76" s="3">
        <f t="shared" si="85"/>
        <v>3688.7920000000004</v>
      </c>
      <c r="BQ76" s="3">
        <f t="shared" si="85"/>
        <v>3688.7920000000004</v>
      </c>
      <c r="BR76" s="3">
        <f t="shared" si="85"/>
        <v>3688.7920000000004</v>
      </c>
      <c r="BS76" s="3">
        <f t="shared" si="85"/>
        <v>3688.7920000000004</v>
      </c>
      <c r="BT76" s="3">
        <f t="shared" si="85"/>
        <v>3688.7920000000004</v>
      </c>
      <c r="BU76" s="3">
        <f t="shared" si="85"/>
        <v>3688.7920000000004</v>
      </c>
      <c r="BV76" s="3">
        <f t="shared" si="85"/>
        <v>3688.7920000000004</v>
      </c>
      <c r="BW76" s="3">
        <f t="shared" si="85"/>
        <v>2582.1544000000004</v>
      </c>
      <c r="BX76" s="4">
        <f t="shared" si="83"/>
        <v>39470.074400000005</v>
      </c>
      <c r="BY76" s="25">
        <f t="shared" si="84"/>
        <v>15438.955599999994</v>
      </c>
      <c r="CA76" s="86">
        <f t="shared" si="73"/>
        <v>95908.592000000004</v>
      </c>
    </row>
    <row r="77" spans="1:79" x14ac:dyDescent="0.25">
      <c r="A77" s="71">
        <f t="shared" si="78"/>
        <v>73</v>
      </c>
      <c r="B77" s="12" t="s">
        <v>68</v>
      </c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37">
        <f t="shared" si="74"/>
        <v>0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7">
        <f t="shared" si="75"/>
        <v>0</v>
      </c>
      <c r="AH77" s="61"/>
      <c r="AI77" s="4">
        <v>25057.63</v>
      </c>
      <c r="AJ77" s="63"/>
      <c r="AK77" s="57"/>
      <c r="AL77" s="61"/>
      <c r="AM77" s="34"/>
      <c r="AN77" s="4"/>
      <c r="AO77" s="4"/>
      <c r="AP77" s="35">
        <f t="shared" si="76"/>
        <v>25057.63</v>
      </c>
      <c r="AQ77" s="4"/>
      <c r="AR77" s="4"/>
      <c r="AS77" s="4"/>
      <c r="AT77" s="4"/>
      <c r="AU77" s="4"/>
      <c r="AV77" s="4"/>
      <c r="AW77" s="4"/>
      <c r="AX77" s="4"/>
      <c r="AY77" s="4"/>
      <c r="AZ77" s="35">
        <f t="shared" si="18"/>
        <v>0</v>
      </c>
      <c r="BA77" s="35"/>
      <c r="BB77" s="35"/>
      <c r="BC77" s="35"/>
      <c r="BD77" s="35"/>
      <c r="BE77" s="75"/>
      <c r="BF77" s="75"/>
      <c r="BG77" s="75"/>
      <c r="BH77" s="75"/>
      <c r="BI77" s="75"/>
      <c r="BJ77" s="37"/>
      <c r="BK77" s="19">
        <f t="shared" si="79"/>
        <v>25057.63</v>
      </c>
      <c r="BL77" s="16">
        <v>24.038499999999999</v>
      </c>
      <c r="BM77" s="4">
        <f t="shared" ref="BM77:BW77" si="86">+$BL$77*BM2</f>
        <v>1923.08</v>
      </c>
      <c r="BN77" s="4">
        <f t="shared" si="86"/>
        <v>1923.08</v>
      </c>
      <c r="BO77" s="4">
        <f t="shared" si="86"/>
        <v>1923.08</v>
      </c>
      <c r="BP77" s="4">
        <f t="shared" si="86"/>
        <v>1923.08</v>
      </c>
      <c r="BQ77" s="4">
        <f t="shared" si="86"/>
        <v>1923.08</v>
      </c>
      <c r="BR77" s="4">
        <f t="shared" si="86"/>
        <v>1923.08</v>
      </c>
      <c r="BS77" s="4">
        <f t="shared" si="86"/>
        <v>1923.08</v>
      </c>
      <c r="BT77" s="4">
        <f t="shared" si="86"/>
        <v>1923.08</v>
      </c>
      <c r="BU77" s="4">
        <f t="shared" si="86"/>
        <v>1923.08</v>
      </c>
      <c r="BV77" s="4">
        <f t="shared" si="86"/>
        <v>1923.08</v>
      </c>
      <c r="BW77" s="4">
        <f t="shared" si="86"/>
        <v>1346.1559999999999</v>
      </c>
      <c r="BX77" s="4">
        <f t="shared" si="83"/>
        <v>20576.956000000002</v>
      </c>
      <c r="BY77" s="27">
        <f t="shared" si="84"/>
        <v>4480.6739999999991</v>
      </c>
      <c r="CA77" s="86">
        <f t="shared" si="73"/>
        <v>50000.08</v>
      </c>
    </row>
    <row r="78" spans="1:79" x14ac:dyDescent="0.25">
      <c r="A78" s="71">
        <f t="shared" si="78"/>
        <v>74</v>
      </c>
      <c r="B78" s="12" t="s">
        <v>74</v>
      </c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37">
        <f t="shared" si="74"/>
        <v>0</v>
      </c>
      <c r="R78" s="34"/>
      <c r="S78" s="34"/>
      <c r="T78" s="34"/>
      <c r="U78" s="34"/>
      <c r="V78" s="34"/>
      <c r="W78" s="34">
        <f>49.36+748.96</f>
        <v>798.32</v>
      </c>
      <c r="X78" s="34">
        <v>1916.55</v>
      </c>
      <c r="Y78" s="34"/>
      <c r="Z78" s="34"/>
      <c r="AA78" s="34">
        <v>16.079999999999998</v>
      </c>
      <c r="AB78" s="34">
        <v>1778.44</v>
      </c>
      <c r="AC78" s="34"/>
      <c r="AD78" s="34">
        <v>18781.87</v>
      </c>
      <c r="AE78" s="34">
        <v>68.819999999999993</v>
      </c>
      <c r="AF78" s="34"/>
      <c r="AG78" s="37">
        <f t="shared" si="75"/>
        <v>23360.079999999998</v>
      </c>
      <c r="AH78" s="61"/>
      <c r="AI78" s="4"/>
      <c r="AJ78" s="63"/>
      <c r="AK78" s="57"/>
      <c r="AL78" s="61"/>
      <c r="AM78" s="34">
        <v>17995.45</v>
      </c>
      <c r="AN78" s="4"/>
      <c r="AO78" s="4">
        <v>1800</v>
      </c>
      <c r="AP78" s="35">
        <f t="shared" si="76"/>
        <v>19795.45</v>
      </c>
      <c r="AQ78" s="4"/>
      <c r="AR78" s="4"/>
      <c r="AS78" s="4"/>
      <c r="AT78" s="4"/>
      <c r="AU78" s="4"/>
      <c r="AV78" s="4"/>
      <c r="AW78" s="4"/>
      <c r="AX78" s="4"/>
      <c r="AY78" s="4"/>
      <c r="AZ78" s="35">
        <f t="shared" si="18"/>
        <v>0</v>
      </c>
      <c r="BA78" s="35"/>
      <c r="BB78" s="35"/>
      <c r="BC78" s="35"/>
      <c r="BD78" s="35"/>
      <c r="BE78" s="75"/>
      <c r="BF78" s="75"/>
      <c r="BG78" s="75"/>
      <c r="BH78" s="75"/>
      <c r="BI78" s="75"/>
      <c r="BJ78" s="37"/>
      <c r="BK78" s="19">
        <f t="shared" si="79"/>
        <v>43155.53</v>
      </c>
      <c r="BL78" s="16">
        <v>32.692300000000003</v>
      </c>
      <c r="BM78" s="4">
        <f t="shared" ref="BM78:BW78" si="87">+$BL$78*BM2</f>
        <v>2615.384</v>
      </c>
      <c r="BN78" s="4">
        <f t="shared" si="87"/>
        <v>2615.384</v>
      </c>
      <c r="BO78" s="4">
        <f t="shared" si="87"/>
        <v>2615.384</v>
      </c>
      <c r="BP78" s="4">
        <f t="shared" si="87"/>
        <v>2615.384</v>
      </c>
      <c r="BQ78" s="4">
        <f t="shared" si="87"/>
        <v>2615.384</v>
      </c>
      <c r="BR78" s="4">
        <f t="shared" si="87"/>
        <v>2615.384</v>
      </c>
      <c r="BS78" s="4">
        <f t="shared" si="87"/>
        <v>2615.384</v>
      </c>
      <c r="BT78" s="4">
        <f t="shared" si="87"/>
        <v>2615.384</v>
      </c>
      <c r="BU78" s="4">
        <f t="shared" si="87"/>
        <v>2615.384</v>
      </c>
      <c r="BV78" s="4">
        <f t="shared" si="87"/>
        <v>2615.384</v>
      </c>
      <c r="BW78" s="4">
        <f t="shared" si="87"/>
        <v>1830.7688000000003</v>
      </c>
      <c r="BX78" s="4">
        <f t="shared" si="83"/>
        <v>27984.608799999998</v>
      </c>
      <c r="BY78" s="27">
        <f t="shared" si="84"/>
        <v>15170.921200000001</v>
      </c>
      <c r="CA78" s="86">
        <f t="shared" si="73"/>
        <v>67999.984000000011</v>
      </c>
    </row>
    <row r="79" spans="1:79" x14ac:dyDescent="0.25">
      <c r="A79" s="71">
        <f t="shared" si="78"/>
        <v>75</v>
      </c>
      <c r="B79" s="12" t="s">
        <v>19</v>
      </c>
      <c r="C79" s="48"/>
      <c r="D79" s="48"/>
      <c r="E79" s="48"/>
      <c r="F79" s="48">
        <v>6176.34</v>
      </c>
      <c r="G79" s="48"/>
      <c r="H79" s="48"/>
      <c r="I79" s="48"/>
      <c r="J79" s="48"/>
      <c r="K79" s="48"/>
      <c r="L79" s="48">
        <v>18572.96</v>
      </c>
      <c r="M79" s="48">
        <v>3166.21</v>
      </c>
      <c r="N79" s="48"/>
      <c r="O79" s="48"/>
      <c r="P79" s="48"/>
      <c r="Q79" s="37">
        <f t="shared" si="74"/>
        <v>27915.51</v>
      </c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7">
        <f t="shared" si="75"/>
        <v>0</v>
      </c>
      <c r="AH79" s="62">
        <v>0</v>
      </c>
      <c r="AI79" s="3">
        <v>0</v>
      </c>
      <c r="AJ79" s="62"/>
      <c r="AK79" s="77"/>
      <c r="AL79" s="62"/>
      <c r="AM79" s="3"/>
      <c r="AN79" s="3"/>
      <c r="AO79" s="3"/>
      <c r="AP79" s="35">
        <f t="shared" si="76"/>
        <v>0</v>
      </c>
      <c r="AQ79" s="3"/>
      <c r="AR79" s="3"/>
      <c r="AS79" s="3"/>
      <c r="AT79" s="3"/>
      <c r="AU79" s="3"/>
      <c r="AV79" s="3"/>
      <c r="AW79" s="3"/>
      <c r="AX79" s="3"/>
      <c r="AY79" s="3"/>
      <c r="AZ79" s="35">
        <f t="shared" si="18"/>
        <v>0</v>
      </c>
      <c r="BA79" s="35"/>
      <c r="BB79" s="35"/>
      <c r="BC79" s="35"/>
      <c r="BD79" s="35"/>
      <c r="BE79" s="76"/>
      <c r="BF79" s="76"/>
      <c r="BG79" s="76"/>
      <c r="BH79" s="76"/>
      <c r="BI79" s="76"/>
      <c r="BJ79" s="35"/>
      <c r="BK79" s="19">
        <f t="shared" si="79"/>
        <v>27915.51</v>
      </c>
      <c r="BL79" s="17">
        <v>28.004799999999999</v>
      </c>
      <c r="BM79" s="3">
        <f t="shared" ref="BM79:BW79" si="88">+$BL$79*BM2</f>
        <v>2240.384</v>
      </c>
      <c r="BN79" s="3">
        <f t="shared" si="88"/>
        <v>2240.384</v>
      </c>
      <c r="BO79" s="3">
        <f t="shared" si="88"/>
        <v>2240.384</v>
      </c>
      <c r="BP79" s="3">
        <f t="shared" si="88"/>
        <v>2240.384</v>
      </c>
      <c r="BQ79" s="3">
        <f t="shared" si="88"/>
        <v>2240.384</v>
      </c>
      <c r="BR79" s="3">
        <f t="shared" si="88"/>
        <v>2240.384</v>
      </c>
      <c r="BS79" s="3">
        <f t="shared" si="88"/>
        <v>2240.384</v>
      </c>
      <c r="BT79" s="3">
        <f t="shared" si="88"/>
        <v>2240.384</v>
      </c>
      <c r="BU79" s="3">
        <f t="shared" si="88"/>
        <v>2240.384</v>
      </c>
      <c r="BV79" s="3">
        <f t="shared" si="88"/>
        <v>2240.384</v>
      </c>
      <c r="BW79" s="3">
        <f t="shared" si="88"/>
        <v>1568.2688000000001</v>
      </c>
      <c r="BX79" s="4">
        <f t="shared" si="83"/>
        <v>23972.108799999998</v>
      </c>
      <c r="BY79" s="25">
        <f t="shared" si="84"/>
        <v>3943.4012000000002</v>
      </c>
      <c r="CA79" s="86">
        <f t="shared" si="73"/>
        <v>58249.983999999997</v>
      </c>
    </row>
    <row r="80" spans="1:79" x14ac:dyDescent="0.25">
      <c r="A80" s="71">
        <f t="shared" si="78"/>
        <v>76</v>
      </c>
      <c r="B80" s="12" t="s">
        <v>65</v>
      </c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37">
        <f t="shared" si="74"/>
        <v>0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7">
        <f t="shared" si="75"/>
        <v>0</v>
      </c>
      <c r="AH80" s="61"/>
      <c r="AI80" s="4"/>
      <c r="AJ80" s="63"/>
      <c r="AK80" s="57"/>
      <c r="AL80" s="61"/>
      <c r="AM80" s="34"/>
      <c r="AN80" s="4"/>
      <c r="AO80" s="4"/>
      <c r="AP80" s="35">
        <f t="shared" si="76"/>
        <v>0</v>
      </c>
      <c r="AQ80" s="4"/>
      <c r="AR80" s="4"/>
      <c r="AS80" s="4"/>
      <c r="AT80" s="4"/>
      <c r="AU80" s="4"/>
      <c r="AV80" s="4"/>
      <c r="AW80" s="4"/>
      <c r="AX80" s="4"/>
      <c r="AY80" s="4">
        <v>32557.66</v>
      </c>
      <c r="AZ80" s="35">
        <f t="shared" si="18"/>
        <v>32557.66</v>
      </c>
      <c r="BA80" s="35"/>
      <c r="BB80" s="35"/>
      <c r="BC80" s="35"/>
      <c r="BD80" s="35"/>
      <c r="BE80" s="75"/>
      <c r="BF80" s="75"/>
      <c r="BG80" s="75"/>
      <c r="BH80" s="75"/>
      <c r="BI80" s="75"/>
      <c r="BJ80" s="37"/>
      <c r="BK80" s="19">
        <f t="shared" si="79"/>
        <v>32557.66</v>
      </c>
      <c r="BL80" s="16">
        <v>24.038499999999999</v>
      </c>
      <c r="BM80" s="4">
        <f t="shared" ref="BM80:BW80" si="89">+$BL$80*BM2</f>
        <v>1923.08</v>
      </c>
      <c r="BN80" s="4">
        <f t="shared" si="89"/>
        <v>1923.08</v>
      </c>
      <c r="BO80" s="4">
        <f t="shared" si="89"/>
        <v>1923.08</v>
      </c>
      <c r="BP80" s="4">
        <f t="shared" si="89"/>
        <v>1923.08</v>
      </c>
      <c r="BQ80" s="4">
        <f t="shared" si="89"/>
        <v>1923.08</v>
      </c>
      <c r="BR80" s="4">
        <f t="shared" si="89"/>
        <v>1923.08</v>
      </c>
      <c r="BS80" s="4">
        <f t="shared" si="89"/>
        <v>1923.08</v>
      </c>
      <c r="BT80" s="4">
        <f t="shared" si="89"/>
        <v>1923.08</v>
      </c>
      <c r="BU80" s="4">
        <f t="shared" si="89"/>
        <v>1923.08</v>
      </c>
      <c r="BV80" s="4">
        <f t="shared" si="89"/>
        <v>1923.08</v>
      </c>
      <c r="BW80" s="4">
        <f t="shared" si="89"/>
        <v>1346.1559999999999</v>
      </c>
      <c r="BX80" s="4">
        <f t="shared" si="83"/>
        <v>20576.956000000002</v>
      </c>
      <c r="BY80" s="27">
        <f t="shared" si="84"/>
        <v>11980.703999999998</v>
      </c>
      <c r="CA80" s="86">
        <f t="shared" si="73"/>
        <v>50000.08</v>
      </c>
    </row>
    <row r="81" spans="1:80" x14ac:dyDescent="0.25">
      <c r="A81" s="71">
        <v>77</v>
      </c>
      <c r="B81" s="69" t="s">
        <v>91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37">
        <f t="shared" si="74"/>
        <v>0</v>
      </c>
      <c r="R81" s="34"/>
      <c r="S81" s="34"/>
      <c r="T81" s="34"/>
      <c r="U81" s="34"/>
      <c r="V81" s="33">
        <v>23728.97</v>
      </c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7">
        <f t="shared" si="75"/>
        <v>23728.97</v>
      </c>
      <c r="AH81" s="4"/>
      <c r="AI81" s="4"/>
      <c r="AJ81" s="63"/>
      <c r="AK81" s="57"/>
      <c r="AL81" s="61"/>
      <c r="AM81" s="34"/>
      <c r="AN81" s="4"/>
      <c r="AO81" s="4"/>
      <c r="AP81" s="35"/>
      <c r="AQ81" s="4"/>
      <c r="AR81" s="4"/>
      <c r="AS81" s="4"/>
      <c r="AT81" s="4"/>
      <c r="AU81" s="4"/>
      <c r="AV81" s="4"/>
      <c r="AW81" s="4"/>
      <c r="AX81" s="4"/>
      <c r="AY81" s="4"/>
      <c r="AZ81" s="35"/>
      <c r="BA81" s="35"/>
      <c r="BB81" s="35"/>
      <c r="BC81" s="35"/>
      <c r="BD81" s="35"/>
      <c r="BE81" s="75"/>
      <c r="BF81" s="75"/>
      <c r="BG81" s="75"/>
      <c r="BH81" s="75"/>
      <c r="BI81" s="75"/>
      <c r="BJ81" s="37"/>
      <c r="BK81" s="42">
        <f t="shared" si="79"/>
        <v>23728.97</v>
      </c>
      <c r="BL81" s="16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28">
        <f t="shared" si="84"/>
        <v>23728.97</v>
      </c>
      <c r="CA81" s="86">
        <f t="shared" si="73"/>
        <v>0</v>
      </c>
    </row>
    <row r="82" spans="1:80" x14ac:dyDescent="0.25">
      <c r="A82" s="71">
        <v>78</v>
      </c>
      <c r="B82" s="69" t="s">
        <v>104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72">
        <v>28108.14</v>
      </c>
      <c r="N82" s="52"/>
      <c r="O82" s="52"/>
      <c r="P82" s="52"/>
      <c r="Q82" s="37">
        <f t="shared" si="74"/>
        <v>28108.14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7">
        <f t="shared" si="75"/>
        <v>0</v>
      </c>
      <c r="AH82" s="4"/>
      <c r="AI82" s="4"/>
      <c r="AJ82" s="63"/>
      <c r="AK82" s="57"/>
      <c r="AL82" s="61"/>
      <c r="AM82" s="34"/>
      <c r="AN82" s="4"/>
      <c r="AO82" s="4"/>
      <c r="AP82" s="35">
        <f t="shared" si="76"/>
        <v>0</v>
      </c>
      <c r="AQ82" s="4"/>
      <c r="AR82" s="4"/>
      <c r="AS82" s="4"/>
      <c r="AT82" s="4"/>
      <c r="AU82" s="4"/>
      <c r="AV82" s="4"/>
      <c r="AW82" s="4"/>
      <c r="AX82" s="4"/>
      <c r="AY82" s="4"/>
      <c r="AZ82" s="35"/>
      <c r="BA82" s="35"/>
      <c r="BB82" s="35"/>
      <c r="BC82" s="35"/>
      <c r="BD82" s="35"/>
      <c r="BE82" s="75"/>
      <c r="BF82" s="75"/>
      <c r="BG82" s="75"/>
      <c r="BH82" s="75"/>
      <c r="BI82" s="75"/>
      <c r="BJ82" s="37"/>
      <c r="BK82" s="42">
        <f t="shared" si="79"/>
        <v>28108.14</v>
      </c>
      <c r="BL82" s="16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28">
        <f t="shared" si="84"/>
        <v>28108.14</v>
      </c>
      <c r="CA82" s="86">
        <f t="shared" si="73"/>
        <v>0</v>
      </c>
    </row>
    <row r="83" spans="1:80" x14ac:dyDescent="0.25">
      <c r="A83" s="71">
        <v>79</v>
      </c>
      <c r="B83" s="69" t="s">
        <v>105</v>
      </c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37">
        <f t="shared" si="74"/>
        <v>0</v>
      </c>
      <c r="R83" s="34"/>
      <c r="S83" s="34"/>
      <c r="T83" s="34"/>
      <c r="U83" s="34"/>
      <c r="V83" s="34">
        <v>30352.59</v>
      </c>
      <c r="W83" s="34"/>
      <c r="X83" s="34"/>
      <c r="Y83" s="34"/>
      <c r="Z83" s="34"/>
      <c r="AA83" s="34"/>
      <c r="AB83" s="34"/>
      <c r="AC83" s="34"/>
      <c r="AD83" s="34"/>
      <c r="AE83" s="34">
        <v>11400</v>
      </c>
      <c r="AF83" s="34"/>
      <c r="AG83" s="37">
        <f t="shared" si="75"/>
        <v>41752.589999999997</v>
      </c>
      <c r="AH83" s="4"/>
      <c r="AI83" s="4">
        <v>0</v>
      </c>
      <c r="AJ83" s="63">
        <v>4307.71</v>
      </c>
      <c r="AK83" s="57"/>
      <c r="AL83" s="61"/>
      <c r="AM83" s="34"/>
      <c r="AN83" s="4"/>
      <c r="AO83" s="4"/>
      <c r="AP83" s="35">
        <f t="shared" si="76"/>
        <v>4307.71</v>
      </c>
      <c r="AQ83" s="3"/>
      <c r="AR83" s="3"/>
      <c r="AS83" s="3"/>
      <c r="AT83" s="3"/>
      <c r="AU83" s="3"/>
      <c r="AV83" s="3"/>
      <c r="AW83" s="3"/>
      <c r="AX83" s="3"/>
      <c r="AY83" s="3"/>
      <c r="AZ83" s="35">
        <f t="shared" si="18"/>
        <v>0</v>
      </c>
      <c r="BA83" s="35"/>
      <c r="BB83" s="35"/>
      <c r="BC83" s="35"/>
      <c r="BD83" s="35"/>
      <c r="BE83" s="75"/>
      <c r="BF83" s="75"/>
      <c r="BG83" s="75"/>
      <c r="BH83" s="75"/>
      <c r="BI83" s="75"/>
      <c r="BJ83" s="37"/>
      <c r="BK83" s="42">
        <f t="shared" si="79"/>
        <v>46060.299999999996</v>
      </c>
      <c r="BL83" s="24">
        <v>0</v>
      </c>
      <c r="BM83" s="26">
        <f t="shared" ref="BM83:BW83" si="90">+$BL$83*BM2</f>
        <v>0</v>
      </c>
      <c r="BN83" s="26">
        <f t="shared" si="90"/>
        <v>0</v>
      </c>
      <c r="BO83" s="26">
        <f t="shared" si="90"/>
        <v>0</v>
      </c>
      <c r="BP83" s="26">
        <f t="shared" si="90"/>
        <v>0</v>
      </c>
      <c r="BQ83" s="26">
        <f t="shared" si="90"/>
        <v>0</v>
      </c>
      <c r="BR83" s="26">
        <f t="shared" si="90"/>
        <v>0</v>
      </c>
      <c r="BS83" s="26">
        <f t="shared" si="90"/>
        <v>0</v>
      </c>
      <c r="BT83" s="26">
        <f t="shared" si="90"/>
        <v>0</v>
      </c>
      <c r="BU83" s="26">
        <f t="shared" si="90"/>
        <v>0</v>
      </c>
      <c r="BV83" s="26">
        <f t="shared" si="90"/>
        <v>0</v>
      </c>
      <c r="BW83" s="26">
        <f t="shared" si="90"/>
        <v>0</v>
      </c>
      <c r="BX83" s="38">
        <f t="shared" si="83"/>
        <v>0</v>
      </c>
      <c r="BY83" s="28">
        <f t="shared" si="84"/>
        <v>46060.299999999996</v>
      </c>
      <c r="CA83" s="86">
        <f t="shared" si="73"/>
        <v>0</v>
      </c>
    </row>
    <row r="84" spans="1:80" x14ac:dyDescent="0.25">
      <c r="A84" s="71">
        <f t="shared" si="78"/>
        <v>80</v>
      </c>
      <c r="B84" s="69" t="s">
        <v>106</v>
      </c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37">
        <f t="shared" si="74"/>
        <v>0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7">
        <f t="shared" si="75"/>
        <v>0</v>
      </c>
      <c r="AH84" s="4"/>
      <c r="AI84" s="4"/>
      <c r="AJ84" s="63"/>
      <c r="AK84" s="57"/>
      <c r="AL84" s="61"/>
      <c r="AM84" s="34"/>
      <c r="AN84" s="4"/>
      <c r="AO84" s="4"/>
      <c r="AP84" s="35">
        <f t="shared" si="76"/>
        <v>0</v>
      </c>
      <c r="AQ84" s="3"/>
      <c r="AR84" s="3"/>
      <c r="AS84" s="42">
        <f>47000.34-330.75</f>
        <v>46669.59</v>
      </c>
      <c r="AT84" s="3"/>
      <c r="AU84" s="3"/>
      <c r="AV84" s="3"/>
      <c r="AW84" s="3"/>
      <c r="AX84" s="3"/>
      <c r="AY84" s="3"/>
      <c r="AZ84" s="35">
        <f>SUM(AQ84:AY84)</f>
        <v>46669.59</v>
      </c>
      <c r="BA84" s="35"/>
      <c r="BB84" s="35"/>
      <c r="BC84" s="35"/>
      <c r="BD84" s="35"/>
      <c r="BE84" s="75"/>
      <c r="BF84" s="75"/>
      <c r="BG84" s="75"/>
      <c r="BH84" s="75"/>
      <c r="BI84" s="75"/>
      <c r="BJ84" s="37"/>
      <c r="BK84" s="42">
        <f t="shared" si="79"/>
        <v>46669.59</v>
      </c>
      <c r="BL84" s="24">
        <v>0</v>
      </c>
      <c r="BM84" s="26">
        <f t="shared" ref="BM84:BW84" si="91">+$BL$84*BM2</f>
        <v>0</v>
      </c>
      <c r="BN84" s="26">
        <f t="shared" si="91"/>
        <v>0</v>
      </c>
      <c r="BO84" s="26">
        <f t="shared" si="91"/>
        <v>0</v>
      </c>
      <c r="BP84" s="26">
        <f t="shared" si="91"/>
        <v>0</v>
      </c>
      <c r="BQ84" s="26">
        <f t="shared" si="91"/>
        <v>0</v>
      </c>
      <c r="BR84" s="26">
        <f t="shared" si="91"/>
        <v>0</v>
      </c>
      <c r="BS84" s="26">
        <f t="shared" si="91"/>
        <v>0</v>
      </c>
      <c r="BT84" s="26">
        <f t="shared" si="91"/>
        <v>0</v>
      </c>
      <c r="BU84" s="26">
        <f t="shared" si="91"/>
        <v>0</v>
      </c>
      <c r="BV84" s="26">
        <f t="shared" si="91"/>
        <v>0</v>
      </c>
      <c r="BW84" s="26">
        <f t="shared" si="91"/>
        <v>0</v>
      </c>
      <c r="BX84" s="38">
        <f t="shared" si="83"/>
        <v>0</v>
      </c>
      <c r="BY84" s="29">
        <f>+BK84-BX84</f>
        <v>46669.59</v>
      </c>
      <c r="CA84" s="86">
        <f t="shared" si="73"/>
        <v>0</v>
      </c>
    </row>
    <row r="85" spans="1:80" x14ac:dyDescent="0.25">
      <c r="A85" s="71">
        <f t="shared" si="78"/>
        <v>81</v>
      </c>
      <c r="B85" s="12" t="s">
        <v>27</v>
      </c>
      <c r="C85" s="48"/>
      <c r="D85" s="48"/>
      <c r="E85" s="48"/>
      <c r="F85" s="48"/>
      <c r="G85" s="48"/>
      <c r="H85" s="48">
        <v>6349.24</v>
      </c>
      <c r="I85" s="48"/>
      <c r="J85" s="48">
        <v>3300</v>
      </c>
      <c r="K85" s="48"/>
      <c r="L85" s="48"/>
      <c r="M85" s="48"/>
      <c r="N85" s="48">
        <v>10004.67</v>
      </c>
      <c r="O85" s="48">
        <v>3332.19</v>
      </c>
      <c r="P85" s="48"/>
      <c r="Q85" s="37">
        <f t="shared" si="74"/>
        <v>22986.1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7">
        <f t="shared" si="75"/>
        <v>0</v>
      </c>
      <c r="AH85" s="3">
        <v>0</v>
      </c>
      <c r="AI85" s="3">
        <v>0</v>
      </c>
      <c r="AJ85" s="3"/>
      <c r="AK85" s="77"/>
      <c r="AL85" s="62"/>
      <c r="AM85" s="3"/>
      <c r="AN85" s="3"/>
      <c r="AO85" s="3"/>
      <c r="AP85" s="35">
        <f t="shared" si="76"/>
        <v>0</v>
      </c>
      <c r="AQ85" s="3"/>
      <c r="AR85" s="3"/>
      <c r="AS85" s="3"/>
      <c r="AT85" s="3"/>
      <c r="AU85" s="3"/>
      <c r="AV85" s="3"/>
      <c r="AW85" s="3">
        <v>23575.14</v>
      </c>
      <c r="AX85" s="3">
        <v>31.78</v>
      </c>
      <c r="AY85" s="3"/>
      <c r="AZ85" s="35">
        <f>SUM(AQ85:AY85)</f>
        <v>23606.92</v>
      </c>
      <c r="BA85" s="35"/>
      <c r="BB85" s="35"/>
      <c r="BC85" s="35"/>
      <c r="BD85" s="35"/>
      <c r="BE85" s="76"/>
      <c r="BF85" s="76"/>
      <c r="BG85" s="76"/>
      <c r="BH85" s="76"/>
      <c r="BI85" s="76"/>
      <c r="BJ85" s="35"/>
      <c r="BK85" s="19">
        <f t="shared" si="79"/>
        <v>46593.02</v>
      </c>
      <c r="BL85" s="17">
        <v>33.281300000000002</v>
      </c>
      <c r="BM85" s="3">
        <f t="shared" ref="BM85:BW85" si="92">+$BL$85*BM2</f>
        <v>2662.5039999999999</v>
      </c>
      <c r="BN85" s="3">
        <f t="shared" si="92"/>
        <v>2662.5039999999999</v>
      </c>
      <c r="BO85" s="3">
        <f t="shared" si="92"/>
        <v>2662.5039999999999</v>
      </c>
      <c r="BP85" s="3">
        <f t="shared" si="92"/>
        <v>2662.5039999999999</v>
      </c>
      <c r="BQ85" s="3">
        <f t="shared" si="92"/>
        <v>2662.5039999999999</v>
      </c>
      <c r="BR85" s="3">
        <f t="shared" si="92"/>
        <v>2662.5039999999999</v>
      </c>
      <c r="BS85" s="3">
        <f t="shared" si="92"/>
        <v>2662.5039999999999</v>
      </c>
      <c r="BT85" s="3">
        <f t="shared" si="92"/>
        <v>2662.5039999999999</v>
      </c>
      <c r="BU85" s="3">
        <f t="shared" si="92"/>
        <v>2662.5039999999999</v>
      </c>
      <c r="BV85" s="3">
        <f t="shared" si="92"/>
        <v>2662.5039999999999</v>
      </c>
      <c r="BW85" s="3">
        <f t="shared" si="92"/>
        <v>1863.7528000000002</v>
      </c>
      <c r="BX85" s="4">
        <f t="shared" si="83"/>
        <v>28488.792800000003</v>
      </c>
      <c r="BY85" s="25">
        <f t="shared" si="84"/>
        <v>18104.227199999994</v>
      </c>
      <c r="CA85" s="86">
        <f t="shared" si="73"/>
        <v>69225.104000000007</v>
      </c>
      <c r="CB85" s="30">
        <f>+CA85*BL85</f>
        <v>2303901.4537552004</v>
      </c>
    </row>
    <row r="86" spans="1:80" x14ac:dyDescent="0.25">
      <c r="A86" s="71">
        <f t="shared" si="78"/>
        <v>82</v>
      </c>
      <c r="B86" s="12" t="s">
        <v>73</v>
      </c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37">
        <f t="shared" si="74"/>
        <v>0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7">
        <f t="shared" si="75"/>
        <v>0</v>
      </c>
      <c r="AH86" s="4"/>
      <c r="AI86" s="4"/>
      <c r="AJ86" s="4"/>
      <c r="AK86" s="57"/>
      <c r="AL86" s="61">
        <v>26686.65</v>
      </c>
      <c r="AM86" s="34"/>
      <c r="AN86" s="4"/>
      <c r="AO86" s="4"/>
      <c r="AP86" s="35">
        <f t="shared" si="76"/>
        <v>26686.65</v>
      </c>
      <c r="AQ86" s="4"/>
      <c r="AR86" s="4"/>
      <c r="AS86" s="4"/>
      <c r="AT86" s="4"/>
      <c r="AU86" s="4"/>
      <c r="AV86" s="4"/>
      <c r="AW86" s="4"/>
      <c r="AX86" s="4"/>
      <c r="AY86" s="4"/>
      <c r="AZ86" s="35">
        <f>SUM(AQ86:AY86)</f>
        <v>0</v>
      </c>
      <c r="BA86" s="35"/>
      <c r="BB86" s="35"/>
      <c r="BC86" s="35"/>
      <c r="BD86" s="35"/>
      <c r="BE86" s="75"/>
      <c r="BF86" s="75"/>
      <c r="BG86" s="75"/>
      <c r="BH86" s="75"/>
      <c r="BI86" s="75"/>
      <c r="BJ86" s="37"/>
      <c r="BK86" s="19">
        <f t="shared" si="79"/>
        <v>26686.65</v>
      </c>
      <c r="BL86" s="16">
        <v>25.600999999999999</v>
      </c>
      <c r="BM86" s="4">
        <f t="shared" ref="BM86:BW86" si="93">+$BL$86*BM2</f>
        <v>2048.08</v>
      </c>
      <c r="BN86" s="4">
        <f t="shared" si="93"/>
        <v>2048.08</v>
      </c>
      <c r="BO86" s="4">
        <f t="shared" si="93"/>
        <v>2048.08</v>
      </c>
      <c r="BP86" s="4">
        <f t="shared" si="93"/>
        <v>2048.08</v>
      </c>
      <c r="BQ86" s="4">
        <f t="shared" si="93"/>
        <v>2048.08</v>
      </c>
      <c r="BR86" s="4">
        <f t="shared" si="93"/>
        <v>2048.08</v>
      </c>
      <c r="BS86" s="4">
        <f t="shared" si="93"/>
        <v>2048.08</v>
      </c>
      <c r="BT86" s="4">
        <f t="shared" si="93"/>
        <v>2048.08</v>
      </c>
      <c r="BU86" s="4">
        <f t="shared" si="93"/>
        <v>2048.08</v>
      </c>
      <c r="BV86" s="4">
        <f t="shared" si="93"/>
        <v>2048.08</v>
      </c>
      <c r="BW86" s="4">
        <f t="shared" si="93"/>
        <v>1433.6559999999999</v>
      </c>
      <c r="BX86" s="4">
        <f t="shared" si="83"/>
        <v>21914.456000000002</v>
      </c>
      <c r="BY86" s="27">
        <f t="shared" si="84"/>
        <v>4772.1939999999995</v>
      </c>
      <c r="CA86" s="86">
        <f t="shared" si="73"/>
        <v>53250.080000000002</v>
      </c>
    </row>
    <row r="87" spans="1:80" x14ac:dyDescent="0.25">
      <c r="A87" s="71">
        <f t="shared" si="78"/>
        <v>83</v>
      </c>
      <c r="B87" s="12" t="s">
        <v>55</v>
      </c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37">
        <f t="shared" si="74"/>
        <v>0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7">
        <f t="shared" si="75"/>
        <v>0</v>
      </c>
      <c r="AH87" s="4"/>
      <c r="AI87" s="4"/>
      <c r="AJ87" s="4"/>
      <c r="AK87" s="57"/>
      <c r="AL87" s="61"/>
      <c r="AM87" s="34"/>
      <c r="AN87" s="4"/>
      <c r="AO87" s="4"/>
      <c r="AP87" s="35">
        <f t="shared" si="76"/>
        <v>0</v>
      </c>
      <c r="AQ87" s="4"/>
      <c r="AR87" s="4"/>
      <c r="AS87" s="4"/>
      <c r="AT87" s="4">
        <v>34800.93</v>
      </c>
      <c r="AU87" s="4"/>
      <c r="AV87" s="4"/>
      <c r="AW87" s="4"/>
      <c r="AX87" s="4"/>
      <c r="AY87" s="4"/>
      <c r="AZ87" s="35">
        <f>SUM(AQ87:AY87)</f>
        <v>34800.93</v>
      </c>
      <c r="BA87" s="35"/>
      <c r="BB87" s="35"/>
      <c r="BC87" s="35"/>
      <c r="BD87" s="35"/>
      <c r="BE87" s="75"/>
      <c r="BF87" s="75"/>
      <c r="BG87" s="75"/>
      <c r="BH87" s="75"/>
      <c r="BI87" s="75"/>
      <c r="BJ87" s="37"/>
      <c r="BK87" s="19">
        <f t="shared" si="79"/>
        <v>34800.93</v>
      </c>
      <c r="BL87" s="16">
        <v>30.5547</v>
      </c>
      <c r="BM87" s="4">
        <f t="shared" ref="BM87:BW87" si="94">+$BL$87*BM2</f>
        <v>2444.3760000000002</v>
      </c>
      <c r="BN87" s="4">
        <f t="shared" si="94"/>
        <v>2444.3760000000002</v>
      </c>
      <c r="BO87" s="4">
        <f t="shared" si="94"/>
        <v>2444.3760000000002</v>
      </c>
      <c r="BP87" s="4">
        <f t="shared" si="94"/>
        <v>2444.3760000000002</v>
      </c>
      <c r="BQ87" s="4">
        <f t="shared" si="94"/>
        <v>2444.3760000000002</v>
      </c>
      <c r="BR87" s="4">
        <f t="shared" si="94"/>
        <v>2444.3760000000002</v>
      </c>
      <c r="BS87" s="4">
        <f t="shared" si="94"/>
        <v>2444.3760000000002</v>
      </c>
      <c r="BT87" s="4">
        <f t="shared" si="94"/>
        <v>2444.3760000000002</v>
      </c>
      <c r="BU87" s="4">
        <f t="shared" si="94"/>
        <v>2444.3760000000002</v>
      </c>
      <c r="BV87" s="4">
        <f t="shared" si="94"/>
        <v>2444.3760000000002</v>
      </c>
      <c r="BW87" s="4">
        <f t="shared" si="94"/>
        <v>1711.0632000000001</v>
      </c>
      <c r="BX87" s="4">
        <f t="shared" si="83"/>
        <v>26154.823200000003</v>
      </c>
      <c r="BY87" s="25">
        <f t="shared" si="84"/>
        <v>8646.1067999999977</v>
      </c>
      <c r="CA87" s="86">
        <f t="shared" si="73"/>
        <v>63553.775999999998</v>
      </c>
    </row>
    <row r="88" spans="1:80" x14ac:dyDescent="0.25">
      <c r="C88" s="55">
        <f t="shared" ref="C88:P88" si="95">SUM(C4:C87)</f>
        <v>0</v>
      </c>
      <c r="D88" s="55">
        <f t="shared" si="95"/>
        <v>731.25</v>
      </c>
      <c r="E88" s="55">
        <f t="shared" si="95"/>
        <v>2516.6799999999998</v>
      </c>
      <c r="F88" s="55">
        <f t="shared" si="95"/>
        <v>40126.880000000005</v>
      </c>
      <c r="G88" s="55">
        <f t="shared" si="95"/>
        <v>3986.33</v>
      </c>
      <c r="H88" s="55">
        <f t="shared" si="95"/>
        <v>70221.89</v>
      </c>
      <c r="I88" s="55">
        <f t="shared" si="95"/>
        <v>9566.34</v>
      </c>
      <c r="J88" s="55">
        <f t="shared" si="95"/>
        <v>13286.27</v>
      </c>
      <c r="K88" s="55">
        <f t="shared" si="95"/>
        <v>0</v>
      </c>
      <c r="L88" s="55">
        <f t="shared" si="95"/>
        <v>33157.589999999997</v>
      </c>
      <c r="M88" s="55">
        <f t="shared" si="95"/>
        <v>46921.759999999995</v>
      </c>
      <c r="N88" s="55">
        <f t="shared" si="95"/>
        <v>74278.260000000009</v>
      </c>
      <c r="O88" s="55">
        <f t="shared" si="95"/>
        <v>36088.44</v>
      </c>
      <c r="P88" s="55">
        <f t="shared" si="95"/>
        <v>42248.34</v>
      </c>
      <c r="Q88" s="36">
        <f t="shared" ref="Q88:BJ88" si="96">SUM(Q4:Q87)</f>
        <v>373130.02999999997</v>
      </c>
      <c r="R88" s="36">
        <f t="shared" si="96"/>
        <v>50983.93</v>
      </c>
      <c r="S88" s="36">
        <f t="shared" si="96"/>
        <v>21480.85</v>
      </c>
      <c r="T88" s="36">
        <f t="shared" si="96"/>
        <v>2345.89</v>
      </c>
      <c r="U88" s="36">
        <f t="shared" si="96"/>
        <v>836.88</v>
      </c>
      <c r="V88" s="36">
        <f t="shared" si="96"/>
        <v>99111.62</v>
      </c>
      <c r="W88" s="36">
        <f t="shared" si="96"/>
        <v>798.32</v>
      </c>
      <c r="X88" s="36">
        <f t="shared" si="96"/>
        <v>25844.179999999997</v>
      </c>
      <c r="Y88" s="36">
        <f t="shared" si="96"/>
        <v>486.11</v>
      </c>
      <c r="Z88" s="36">
        <f t="shared" si="96"/>
        <v>4010.04</v>
      </c>
      <c r="AA88" s="36">
        <f t="shared" si="96"/>
        <v>3404.91</v>
      </c>
      <c r="AB88" s="36">
        <f t="shared" si="96"/>
        <v>11353.32</v>
      </c>
      <c r="AC88" s="36">
        <f t="shared" si="96"/>
        <v>43944.709999999992</v>
      </c>
      <c r="AD88" s="36">
        <f t="shared" si="96"/>
        <v>90962.829999999987</v>
      </c>
      <c r="AE88" s="36">
        <f t="shared" si="96"/>
        <v>36162.86</v>
      </c>
      <c r="AF88" s="36">
        <f t="shared" si="96"/>
        <v>31773.62</v>
      </c>
      <c r="AG88" s="36">
        <f t="shared" si="96"/>
        <v>423500.06999999995</v>
      </c>
      <c r="AH88" s="21">
        <f t="shared" si="96"/>
        <v>48483.39</v>
      </c>
      <c r="AI88" s="21">
        <f t="shared" si="96"/>
        <v>52412.28</v>
      </c>
      <c r="AJ88" s="21">
        <f t="shared" si="96"/>
        <v>125315.79000000001</v>
      </c>
      <c r="AK88" s="21">
        <f t="shared" si="96"/>
        <v>357966.41</v>
      </c>
      <c r="AL88" s="21">
        <f t="shared" si="96"/>
        <v>85799.890000000014</v>
      </c>
      <c r="AM88" s="21">
        <f t="shared" si="96"/>
        <v>80549.430000000008</v>
      </c>
      <c r="AN88" s="21">
        <f t="shared" si="96"/>
        <v>42492</v>
      </c>
      <c r="AO88" s="21">
        <f t="shared" si="96"/>
        <v>81129.739999999991</v>
      </c>
      <c r="AP88" s="36">
        <f t="shared" si="96"/>
        <v>874148.92999999982</v>
      </c>
      <c r="AQ88" s="21">
        <f t="shared" si="96"/>
        <v>22341.88</v>
      </c>
      <c r="AR88" s="21">
        <f t="shared" si="96"/>
        <v>31769.77</v>
      </c>
      <c r="AS88" s="21">
        <f t="shared" si="96"/>
        <v>121516.81999999999</v>
      </c>
      <c r="AT88" s="21">
        <f t="shared" si="96"/>
        <v>303181.23</v>
      </c>
      <c r="AU88" s="21">
        <f t="shared" si="96"/>
        <v>41639.910000000003</v>
      </c>
      <c r="AV88" s="21">
        <f t="shared" si="96"/>
        <v>38232.559999999998</v>
      </c>
      <c r="AW88" s="21">
        <f t="shared" si="96"/>
        <v>65242.399999999994</v>
      </c>
      <c r="AX88" s="21">
        <f t="shared" si="96"/>
        <v>87357.39</v>
      </c>
      <c r="AY88" s="21">
        <f t="shared" si="96"/>
        <v>90098.61</v>
      </c>
      <c r="AZ88" s="36">
        <f t="shared" si="96"/>
        <v>801380.57000000018</v>
      </c>
      <c r="BA88" s="36">
        <f t="shared" si="96"/>
        <v>46752.480000000003</v>
      </c>
      <c r="BB88" s="36">
        <f t="shared" si="96"/>
        <v>4758.37</v>
      </c>
      <c r="BC88" s="36">
        <f t="shared" si="96"/>
        <v>5646.35</v>
      </c>
      <c r="BD88" s="36">
        <f t="shared" si="96"/>
        <v>82209.030000000013</v>
      </c>
      <c r="BE88" s="36">
        <f t="shared" si="96"/>
        <v>9803.15</v>
      </c>
      <c r="BF88" s="36">
        <f t="shared" si="96"/>
        <v>16379.55</v>
      </c>
      <c r="BG88" s="36">
        <f t="shared" si="96"/>
        <v>17573.05</v>
      </c>
      <c r="BH88" s="36">
        <f t="shared" si="96"/>
        <v>51222.500000000007</v>
      </c>
      <c r="BI88" s="36">
        <f t="shared" si="96"/>
        <v>20339.670000000002</v>
      </c>
      <c r="BJ88" s="36">
        <f t="shared" si="96"/>
        <v>15475.02</v>
      </c>
      <c r="BK88" s="21">
        <f>+BJ88+BI88+BH88+BG88+BF88+BE88+AZ88+AP88+AG88+Q88+BA88+BB88+BC88+BD88</f>
        <v>2742318.7699999996</v>
      </c>
      <c r="BL88" s="14"/>
      <c r="BY88" s="44">
        <f>SUM(BY4:BY87)</f>
        <v>965758.42302153795</v>
      </c>
    </row>
    <row r="89" spans="1:80" x14ac:dyDescent="0.25"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>
        <f>+Q88</f>
        <v>373130.02999999997</v>
      </c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>
        <f>+AG88</f>
        <v>423500.06999999995</v>
      </c>
      <c r="AH89" s="43">
        <v>48483.4</v>
      </c>
      <c r="AI89" s="43">
        <f>25057.63+668.02+26686.63</f>
        <v>52412.28</v>
      </c>
      <c r="AJ89" s="43">
        <v>125315.79</v>
      </c>
      <c r="AK89" s="43">
        <v>357966.41</v>
      </c>
      <c r="AL89" s="43">
        <f>1350+1059+800+731+26686.63+26686.65+28486.61</f>
        <v>85799.89</v>
      </c>
      <c r="AM89" s="43">
        <v>80549.429999999993</v>
      </c>
      <c r="AN89" s="43">
        <v>42492</v>
      </c>
      <c r="AO89" s="43">
        <v>81129.740000000005</v>
      </c>
      <c r="AP89" s="43"/>
      <c r="AQ89" s="43">
        <f>1350+136.89-290.91+780+700+156.31+19509.59</f>
        <v>22341.88</v>
      </c>
      <c r="AR89" s="43">
        <f>1350+136.89+850+700+732+28000.88</f>
        <v>31769.77</v>
      </c>
      <c r="AS89" s="43">
        <f>5737.2+6952.5+3648.07+47000.34+33624.85+13753.82+6500-430.75+4730.79</f>
        <v>121516.81999999999</v>
      </c>
      <c r="AT89" s="43">
        <f>3027.85+6074.97+875.97+26682.65+38301+34800.93+28465.98+15253.83+29538.41+26255.11+37176.16+29843.76+26884.61</f>
        <v>303181.23</v>
      </c>
      <c r="AU89" s="43">
        <f>4050+2716.16-393.28+35551.61-284.58</f>
        <v>41639.909999999996</v>
      </c>
      <c r="AV89" s="43">
        <v>38232.559999999998</v>
      </c>
      <c r="AW89" s="43">
        <v>65242.400000000001</v>
      </c>
      <c r="AX89" s="43">
        <v>87357.39</v>
      </c>
      <c r="AY89" s="43">
        <v>90098.61</v>
      </c>
      <c r="AZ89" s="43"/>
      <c r="BA89" s="43">
        <v>46752.480000000003</v>
      </c>
      <c r="BB89" s="43">
        <v>4758.37</v>
      </c>
      <c r="BC89" s="43">
        <v>5646.35</v>
      </c>
      <c r="BD89" s="43">
        <v>82209.03</v>
      </c>
      <c r="BE89" s="43">
        <v>9803.15</v>
      </c>
      <c r="BF89" s="43">
        <v>16379.55</v>
      </c>
      <c r="BG89" s="43">
        <v>17573.05</v>
      </c>
      <c r="BH89" s="43">
        <v>51222.5</v>
      </c>
      <c r="BI89" s="43">
        <v>20339.669999999998</v>
      </c>
      <c r="BJ89" s="43">
        <v>15475.02</v>
      </c>
      <c r="BK89" s="31" t="s">
        <v>12</v>
      </c>
      <c r="BL89" s="14"/>
    </row>
    <row r="90" spans="1:80" x14ac:dyDescent="0.25">
      <c r="Q90" s="31" t="s">
        <v>12</v>
      </c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 t="s">
        <v>12</v>
      </c>
      <c r="AH90" s="31" t="s">
        <v>12</v>
      </c>
      <c r="AI90" s="31">
        <f t="shared" ref="AI90:BJ90" si="97">+AI89-AI88</f>
        <v>0</v>
      </c>
      <c r="AJ90" s="31">
        <f>+AJ89-AJ88</f>
        <v>0</v>
      </c>
      <c r="AK90" s="31">
        <f t="shared" si="97"/>
        <v>0</v>
      </c>
      <c r="AL90" s="31">
        <f t="shared" si="97"/>
        <v>0</v>
      </c>
      <c r="AM90" s="31">
        <f t="shared" si="97"/>
        <v>0</v>
      </c>
      <c r="AN90" s="31">
        <f t="shared" si="97"/>
        <v>0</v>
      </c>
      <c r="AO90" s="31">
        <f t="shared" si="97"/>
        <v>0</v>
      </c>
      <c r="AP90" s="31">
        <f t="shared" si="97"/>
        <v>-874148.92999999982</v>
      </c>
      <c r="AQ90" s="31">
        <f t="shared" si="97"/>
        <v>0</v>
      </c>
      <c r="AR90" s="31">
        <f t="shared" si="97"/>
        <v>0</v>
      </c>
      <c r="AS90" s="31">
        <f t="shared" si="97"/>
        <v>0</v>
      </c>
      <c r="AT90" s="81">
        <f t="shared" si="97"/>
        <v>0</v>
      </c>
      <c r="AU90" s="31">
        <f t="shared" si="97"/>
        <v>0</v>
      </c>
      <c r="AV90" s="31">
        <f t="shared" si="97"/>
        <v>0</v>
      </c>
      <c r="AW90" s="31">
        <f t="shared" si="97"/>
        <v>0</v>
      </c>
      <c r="AX90" s="31">
        <f t="shared" si="97"/>
        <v>0</v>
      </c>
      <c r="AY90" s="31">
        <f t="shared" si="97"/>
        <v>0</v>
      </c>
      <c r="AZ90" s="31">
        <f t="shared" si="97"/>
        <v>-801380.57000000018</v>
      </c>
      <c r="BA90" s="31">
        <f t="shared" si="97"/>
        <v>0</v>
      </c>
      <c r="BB90" s="31">
        <f t="shared" si="97"/>
        <v>0</v>
      </c>
      <c r="BC90" s="31">
        <f t="shared" si="97"/>
        <v>0</v>
      </c>
      <c r="BD90" s="31">
        <f t="shared" si="97"/>
        <v>0</v>
      </c>
      <c r="BE90" s="31">
        <f t="shared" si="97"/>
        <v>0</v>
      </c>
      <c r="BF90" s="31">
        <f t="shared" si="97"/>
        <v>0</v>
      </c>
      <c r="BG90" s="31">
        <f t="shared" si="97"/>
        <v>0</v>
      </c>
      <c r="BH90" s="31">
        <f t="shared" si="97"/>
        <v>0</v>
      </c>
      <c r="BI90" s="31">
        <f t="shared" si="97"/>
        <v>0</v>
      </c>
      <c r="BJ90" s="31">
        <f t="shared" si="97"/>
        <v>0</v>
      </c>
      <c r="BK90" s="31" t="s">
        <v>12</v>
      </c>
      <c r="BL90" s="14"/>
      <c r="BY90" t="s">
        <v>12</v>
      </c>
    </row>
    <row r="91" spans="1:80" x14ac:dyDescent="0.25">
      <c r="Q91" s="30" t="s">
        <v>12</v>
      </c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 t="s">
        <v>12</v>
      </c>
      <c r="AJ91" t="s">
        <v>12</v>
      </c>
      <c r="AM91" t="s">
        <v>12</v>
      </c>
      <c r="AO91" s="30" t="s">
        <v>12</v>
      </c>
      <c r="AS91" t="s">
        <v>12</v>
      </c>
      <c r="AT91" s="82" t="s">
        <v>12</v>
      </c>
      <c r="BE91" t="s">
        <v>99</v>
      </c>
      <c r="BF91" t="s">
        <v>99</v>
      </c>
      <c r="BG91" t="s">
        <v>99</v>
      </c>
      <c r="BH91" t="s">
        <v>98</v>
      </c>
      <c r="BI91" t="s">
        <v>98</v>
      </c>
      <c r="BL91" s="14"/>
    </row>
    <row r="92" spans="1:80" x14ac:dyDescent="0.25">
      <c r="AJ92" s="30" t="s">
        <v>12</v>
      </c>
      <c r="AT92" s="82"/>
      <c r="AU92" t="s">
        <v>12</v>
      </c>
      <c r="BH92" t="s">
        <v>12</v>
      </c>
      <c r="BK92" s="30" t="s">
        <v>12</v>
      </c>
      <c r="BL92" s="14"/>
      <c r="BY92" s="30" t="s">
        <v>12</v>
      </c>
    </row>
    <row r="93" spans="1:80" x14ac:dyDescent="0.25">
      <c r="R93" t="s">
        <v>12</v>
      </c>
      <c r="S93" t="s">
        <v>12</v>
      </c>
      <c r="T93" t="s">
        <v>12</v>
      </c>
      <c r="AO93" t="s">
        <v>12</v>
      </c>
      <c r="AT93" s="82"/>
      <c r="BG93" t="s">
        <v>82</v>
      </c>
      <c r="BL93" s="14"/>
    </row>
    <row r="94" spans="1:80" x14ac:dyDescent="0.25">
      <c r="R94" t="s">
        <v>12</v>
      </c>
      <c r="S94" t="s">
        <v>12</v>
      </c>
      <c r="T94" t="s">
        <v>12</v>
      </c>
      <c r="Z94" t="s">
        <v>12</v>
      </c>
      <c r="AA94" t="s">
        <v>12</v>
      </c>
      <c r="AB94" t="s">
        <v>12</v>
      </c>
      <c r="AT94" s="82"/>
      <c r="BH94" t="s">
        <v>12</v>
      </c>
      <c r="BL94" s="14"/>
    </row>
    <row r="95" spans="1:80" x14ac:dyDescent="0.25">
      <c r="AT95" s="82"/>
      <c r="BH95" t="s">
        <v>12</v>
      </c>
      <c r="BL95" s="14"/>
    </row>
    <row r="96" spans="1:80" x14ac:dyDescent="0.25">
      <c r="AT96" s="82"/>
      <c r="BH96" t="s">
        <v>12</v>
      </c>
      <c r="BL96" s="14"/>
    </row>
    <row r="97" spans="43:64" x14ac:dyDescent="0.25">
      <c r="AQ97" t="s">
        <v>12</v>
      </c>
      <c r="AR97" t="s">
        <v>12</v>
      </c>
      <c r="AS97" t="s">
        <v>12</v>
      </c>
      <c r="BL97" s="14"/>
    </row>
    <row r="98" spans="43:64" x14ac:dyDescent="0.25">
      <c r="BL98" s="14"/>
    </row>
    <row r="99" spans="43:64" x14ac:dyDescent="0.25">
      <c r="BL99" s="14"/>
    </row>
    <row r="100" spans="43:64" x14ac:dyDescent="0.25">
      <c r="BL100" s="14"/>
    </row>
    <row r="101" spans="43:64" x14ac:dyDescent="0.25">
      <c r="BL101" s="14"/>
    </row>
    <row r="102" spans="43:64" x14ac:dyDescent="0.25">
      <c r="BL102" s="14"/>
    </row>
    <row r="103" spans="43:64" x14ac:dyDescent="0.25">
      <c r="BL103" s="14"/>
    </row>
    <row r="104" spans="43:64" x14ac:dyDescent="0.25">
      <c r="BL104" s="14"/>
    </row>
    <row r="105" spans="43:64" x14ac:dyDescent="0.25">
      <c r="BL105" s="14"/>
    </row>
    <row r="106" spans="43:64" x14ac:dyDescent="0.25">
      <c r="BL106" s="14"/>
    </row>
    <row r="107" spans="43:64" x14ac:dyDescent="0.25">
      <c r="BL107" s="14"/>
    </row>
    <row r="108" spans="43:64" x14ac:dyDescent="0.25">
      <c r="BL108" s="14"/>
    </row>
    <row r="109" spans="43:64" x14ac:dyDescent="0.25">
      <c r="BL109" s="14"/>
    </row>
    <row r="110" spans="43:64" x14ac:dyDescent="0.25">
      <c r="BL110" s="14"/>
    </row>
    <row r="111" spans="43:64" x14ac:dyDescent="0.25">
      <c r="BL111" s="14"/>
    </row>
    <row r="112" spans="43:64" x14ac:dyDescent="0.25">
      <c r="BL112" s="14"/>
    </row>
    <row r="113" spans="64:64" x14ac:dyDescent="0.25">
      <c r="BL113" s="14"/>
    </row>
    <row r="114" spans="64:64" x14ac:dyDescent="0.25">
      <c r="BL114" s="14"/>
    </row>
    <row r="115" spans="64:64" x14ac:dyDescent="0.25">
      <c r="BL115" s="14"/>
    </row>
    <row r="116" spans="64:64" x14ac:dyDescent="0.25">
      <c r="BL116" s="14"/>
    </row>
    <row r="117" spans="64:64" x14ac:dyDescent="0.25">
      <c r="BL117" s="14"/>
    </row>
    <row r="118" spans="64:64" x14ac:dyDescent="0.25">
      <c r="BL118" s="14"/>
    </row>
    <row r="119" spans="64:64" x14ac:dyDescent="0.25">
      <c r="BL119" s="14"/>
    </row>
    <row r="120" spans="64:64" x14ac:dyDescent="0.25">
      <c r="BL120" s="14"/>
    </row>
  </sheetData>
  <sortState xmlns:xlrd2="http://schemas.microsoft.com/office/spreadsheetml/2017/richdata2" ref="B4:BX87">
    <sortCondition ref="B4:B87"/>
  </sortState>
  <mergeCells count="3">
    <mergeCell ref="AQ2:AY2"/>
    <mergeCell ref="BA2:BD2"/>
    <mergeCell ref="AH2:A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38CE-52E0-432C-925B-97B729625EB5}">
  <dimension ref="A1:CA261"/>
  <sheetViews>
    <sheetView tabSelected="1" topLeftCell="B66" zoomScale="112" zoomScaleNormal="112" workbookViewId="0">
      <pane xSplit="1" topLeftCell="C1" activePane="topRight" state="frozen"/>
      <selection activeCell="B1" sqref="B1"/>
      <selection pane="topRight" activeCell="F28" sqref="F28"/>
    </sheetView>
  </sheetViews>
  <sheetFormatPr defaultRowHeight="15" x14ac:dyDescent="0.25"/>
  <cols>
    <col min="1" max="1" width="5.7109375" customWidth="1"/>
    <col min="2" max="2" width="28.5703125" customWidth="1"/>
    <col min="3" max="5" width="10.85546875" customWidth="1"/>
    <col min="6" max="13" width="12.7109375" customWidth="1"/>
    <col min="14" max="14" width="10" customWidth="1"/>
    <col min="15" max="25" width="10.7109375" customWidth="1"/>
    <col min="26" max="27" width="11" customWidth="1"/>
    <col min="28" max="28" width="11.28515625" customWidth="1"/>
    <col min="29" max="34" width="10.5703125" customWidth="1"/>
    <col min="35" max="36" width="10.7109375" customWidth="1"/>
    <col min="37" max="37" width="10.140625" customWidth="1"/>
    <col min="38" max="38" width="12.140625" customWidth="1"/>
    <col min="39" max="39" width="9.7109375" customWidth="1"/>
    <col min="40" max="40" width="9.28515625" customWidth="1"/>
    <col min="41" max="41" width="10.5703125" customWidth="1"/>
    <col min="42" max="42" width="11.28515625" customWidth="1"/>
    <col min="43" max="43" width="9.7109375" customWidth="1"/>
    <col min="44" max="44" width="10.85546875" customWidth="1"/>
    <col min="45" max="45" width="13.7109375" customWidth="1"/>
    <col min="46" max="46" width="9.5703125" customWidth="1"/>
    <col min="47" max="47" width="9.7109375" customWidth="1"/>
    <col min="48" max="48" width="11.5703125" customWidth="1"/>
    <col min="49" max="54" width="10.42578125" customWidth="1"/>
    <col min="55" max="55" width="8.85546875" customWidth="1"/>
    <col min="60" max="60" width="10.5703125" bestFit="1" customWidth="1"/>
    <col min="61" max="61" width="10" customWidth="1"/>
    <col min="63" max="63" width="13.28515625" bestFit="1" customWidth="1"/>
    <col min="64" max="64" width="0" hidden="1" customWidth="1"/>
    <col min="65" max="65" width="12.42578125" hidden="1" customWidth="1"/>
    <col min="67" max="67" width="10.5703125" bestFit="1" customWidth="1"/>
    <col min="68" max="68" width="9.28515625" bestFit="1" customWidth="1"/>
    <col min="74" max="74" width="10.5703125" bestFit="1" customWidth="1"/>
    <col min="79" max="79" width="10.5703125" bestFit="1" customWidth="1"/>
    <col min="100" max="100" width="20.85546875" customWidth="1"/>
    <col min="101" max="101" width="16" customWidth="1"/>
  </cols>
  <sheetData>
    <row r="1" spans="1:71" x14ac:dyDescent="0.25">
      <c r="AA1" t="s">
        <v>12</v>
      </c>
      <c r="AB1" s="30" t="s">
        <v>12</v>
      </c>
    </row>
    <row r="2" spans="1:71" x14ac:dyDescent="0.25">
      <c r="AC2" s="159" t="s">
        <v>2</v>
      </c>
      <c r="AD2" s="160"/>
      <c r="AE2" s="160"/>
      <c r="AF2" s="160"/>
      <c r="AG2" s="160"/>
      <c r="AH2" s="160"/>
      <c r="AI2" s="160"/>
      <c r="AJ2" s="160"/>
      <c r="AK2" s="161"/>
      <c r="AM2" s="162" t="s">
        <v>3</v>
      </c>
      <c r="AN2" s="162"/>
      <c r="AO2" s="162"/>
      <c r="AP2" s="162"/>
      <c r="AQ2" s="162"/>
      <c r="AR2" s="162"/>
      <c r="AS2" s="162"/>
      <c r="AT2" s="162"/>
      <c r="AU2" s="162"/>
      <c r="AV2" s="159" t="s">
        <v>83</v>
      </c>
      <c r="AW2" s="161"/>
      <c r="AX2" s="163" t="s">
        <v>128</v>
      </c>
      <c r="AY2" s="172"/>
      <c r="AZ2" s="172"/>
      <c r="BA2" s="172"/>
      <c r="BB2" s="164"/>
    </row>
    <row r="3" spans="1:71" ht="45" customHeight="1" x14ac:dyDescent="0.25">
      <c r="C3" s="15" t="s">
        <v>9</v>
      </c>
      <c r="D3" s="110" t="s">
        <v>134</v>
      </c>
      <c r="E3" s="114" t="s">
        <v>135</v>
      </c>
      <c r="F3" s="124" t="s">
        <v>121</v>
      </c>
      <c r="G3" s="170" t="s">
        <v>217</v>
      </c>
      <c r="H3" s="170" t="s">
        <v>218</v>
      </c>
      <c r="I3" s="170" t="s">
        <v>219</v>
      </c>
      <c r="J3" s="170" t="s">
        <v>220</v>
      </c>
      <c r="K3" s="170" t="s">
        <v>221</v>
      </c>
      <c r="L3" s="170" t="s">
        <v>222</v>
      </c>
      <c r="M3" s="170" t="s">
        <v>223</v>
      </c>
      <c r="N3" s="111" t="s">
        <v>172</v>
      </c>
      <c r="O3" s="125" t="s">
        <v>171</v>
      </c>
      <c r="P3" s="170" t="s">
        <v>226</v>
      </c>
      <c r="Q3" s="170" t="s">
        <v>227</v>
      </c>
      <c r="R3" s="170" t="s">
        <v>230</v>
      </c>
      <c r="S3" s="170" t="s">
        <v>231</v>
      </c>
      <c r="T3" s="170" t="s">
        <v>232</v>
      </c>
      <c r="U3" s="170" t="s">
        <v>233</v>
      </c>
      <c r="V3" s="170" t="s">
        <v>234</v>
      </c>
      <c r="W3" s="170" t="s">
        <v>235</v>
      </c>
      <c r="X3" s="170" t="s">
        <v>236</v>
      </c>
      <c r="Y3" s="170" t="s">
        <v>237</v>
      </c>
      <c r="Z3" s="111" t="s">
        <v>173</v>
      </c>
      <c r="AA3" s="125" t="s">
        <v>170</v>
      </c>
      <c r="AB3" s="84" t="s">
        <v>129</v>
      </c>
      <c r="AC3" s="84" t="s">
        <v>130</v>
      </c>
      <c r="AD3" s="84" t="s">
        <v>131</v>
      </c>
      <c r="AE3" s="84" t="s">
        <v>132</v>
      </c>
      <c r="AF3" s="108" t="s">
        <v>211</v>
      </c>
      <c r="AG3" s="108" t="s">
        <v>136</v>
      </c>
      <c r="AH3" s="128" t="s">
        <v>215</v>
      </c>
      <c r="AI3" s="108" t="s">
        <v>238</v>
      </c>
      <c r="AJ3" s="84" t="s">
        <v>133</v>
      </c>
      <c r="AK3" s="126" t="s">
        <v>2</v>
      </c>
      <c r="AL3" s="83">
        <v>5061</v>
      </c>
      <c r="AM3" s="83">
        <v>5062</v>
      </c>
      <c r="AN3" s="83">
        <v>5117</v>
      </c>
      <c r="AO3" s="83">
        <v>5118</v>
      </c>
      <c r="AP3" s="83">
        <v>5119</v>
      </c>
      <c r="AQ3" s="93">
        <v>5151</v>
      </c>
      <c r="AR3" s="93">
        <v>5214</v>
      </c>
      <c r="AS3" s="93">
        <v>5215</v>
      </c>
      <c r="AT3" s="93">
        <v>5216</v>
      </c>
      <c r="AU3" s="127" t="s">
        <v>3</v>
      </c>
      <c r="AV3" s="173" t="s">
        <v>182</v>
      </c>
      <c r="AW3" s="173" t="s">
        <v>181</v>
      </c>
      <c r="AX3" s="123" t="s">
        <v>224</v>
      </c>
      <c r="AY3" s="123" t="s">
        <v>192</v>
      </c>
      <c r="AZ3" s="105" t="s">
        <v>183</v>
      </c>
      <c r="BA3" s="105" t="s">
        <v>216</v>
      </c>
      <c r="BB3" s="171" t="s">
        <v>225</v>
      </c>
      <c r="BC3" s="105" t="s">
        <v>178</v>
      </c>
      <c r="BD3" s="105" t="s">
        <v>179</v>
      </c>
      <c r="BE3" s="105" t="s">
        <v>180</v>
      </c>
      <c r="BF3" s="178" t="s">
        <v>174</v>
      </c>
      <c r="BG3" s="105" t="s">
        <v>239</v>
      </c>
      <c r="BH3" s="105" t="s">
        <v>175</v>
      </c>
      <c r="BI3" s="105" t="s">
        <v>176</v>
      </c>
      <c r="BJ3" s="105" t="s">
        <v>177</v>
      </c>
    </row>
    <row r="4" spans="1:71" ht="15" customHeight="1" x14ac:dyDescent="0.25">
      <c r="A4" s="71">
        <v>1</v>
      </c>
      <c r="B4" s="67" t="s">
        <v>145</v>
      </c>
      <c r="C4" s="119">
        <v>24.038499999999999</v>
      </c>
      <c r="D4" s="65">
        <f t="shared" ref="D4:D27" si="0">+C4*2080</f>
        <v>50000.08</v>
      </c>
      <c r="E4" s="113">
        <f>+O4+AA4+AK4+AU4+AV4+AW4+BC4+BE4+BF4+BG4+BH4+BI4+BJ4+BB4+BD4</f>
        <v>60418.505000000005</v>
      </c>
      <c r="F4" s="183">
        <f>+E4-D4</f>
        <v>10418.425000000003</v>
      </c>
      <c r="G4" s="166"/>
      <c r="H4" s="166"/>
      <c r="I4" s="166"/>
      <c r="J4" s="166"/>
      <c r="K4" s="166"/>
      <c r="L4" s="166"/>
      <c r="M4" s="166"/>
      <c r="N4" s="96">
        <v>0</v>
      </c>
      <c r="O4" s="34">
        <f>SUM(G4:N4)</f>
        <v>0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>
        <v>0</v>
      </c>
      <c r="AA4" s="34">
        <f>SUM(P4:Z4)</f>
        <v>0</v>
      </c>
      <c r="AB4" s="87">
        <v>0</v>
      </c>
      <c r="AC4" s="87">
        <v>0</v>
      </c>
      <c r="AD4" s="87">
        <v>0</v>
      </c>
      <c r="AE4" s="88">
        <v>0</v>
      </c>
      <c r="AF4" s="87">
        <v>0</v>
      </c>
      <c r="AG4" s="87"/>
      <c r="AH4" s="87">
        <v>0</v>
      </c>
      <c r="AI4" s="88"/>
      <c r="AJ4" s="87">
        <v>0</v>
      </c>
      <c r="AK4" s="3">
        <f t="shared" ref="AK4:AK39" si="1">SUM(AB4:AJ4)</f>
        <v>0</v>
      </c>
      <c r="AL4" s="89">
        <v>0</v>
      </c>
      <c r="AM4" s="87">
        <v>0</v>
      </c>
      <c r="AN4" s="87">
        <v>0</v>
      </c>
      <c r="AO4" s="87">
        <v>0</v>
      </c>
      <c r="AP4" s="87">
        <v>0</v>
      </c>
      <c r="AQ4" s="87">
        <v>0</v>
      </c>
      <c r="AR4" s="87">
        <v>0</v>
      </c>
      <c r="AS4" s="87">
        <v>0</v>
      </c>
      <c r="AT4" s="87">
        <v>0</v>
      </c>
      <c r="AU4" s="3">
        <f t="shared" ref="AU4:AU39" si="2">SUM(AL4:AT4)</f>
        <v>0</v>
      </c>
      <c r="AV4" s="109"/>
      <c r="AW4" s="109"/>
      <c r="AX4" s="96">
        <v>0</v>
      </c>
      <c r="AY4" s="98">
        <v>0</v>
      </c>
      <c r="AZ4" s="175"/>
      <c r="BA4" s="176"/>
      <c r="BB4" s="3">
        <f>SUM(AX4:BA4)</f>
        <v>0</v>
      </c>
      <c r="BC4" s="35"/>
      <c r="BD4" s="35"/>
      <c r="BE4" s="35"/>
      <c r="BF4" s="73">
        <v>2500</v>
      </c>
      <c r="BG4" s="73">
        <f>+'[1]P 2- Salary'!$L$10</f>
        <v>48814.275000000001</v>
      </c>
      <c r="BH4" s="35"/>
      <c r="BI4" s="73">
        <v>9104.23</v>
      </c>
      <c r="BJ4" s="35"/>
      <c r="BL4">
        <f>+D4*5%</f>
        <v>2500.0040000000004</v>
      </c>
      <c r="BM4" s="90">
        <f>+BL4+D4</f>
        <v>52500.084000000003</v>
      </c>
    </row>
    <row r="5" spans="1:71" ht="15" customHeight="1" x14ac:dyDescent="0.25">
      <c r="A5" s="71">
        <f>+A4+1</f>
        <v>2</v>
      </c>
      <c r="B5" s="67" t="s">
        <v>143</v>
      </c>
      <c r="C5" s="119">
        <v>26.442299999999999</v>
      </c>
      <c r="D5" s="65">
        <f t="shared" si="0"/>
        <v>54999.983999999997</v>
      </c>
      <c r="E5" s="113">
        <f t="shared" ref="E5:E68" si="3">+O5+AA5+AK5+AU5+AV5+AW5+BC5+BE5+BF5+BG5+BH5+BI5+BJ5+BB5+BD5</f>
        <v>57749</v>
      </c>
      <c r="F5" s="184">
        <f>+E5-D5</f>
        <v>2749.0160000000033</v>
      </c>
      <c r="G5" s="166"/>
      <c r="H5" s="166"/>
      <c r="I5" s="166"/>
      <c r="J5" s="166"/>
      <c r="K5" s="166"/>
      <c r="L5" s="166"/>
      <c r="M5" s="166"/>
      <c r="N5" s="96">
        <v>0</v>
      </c>
      <c r="O5" s="34">
        <f t="shared" ref="O5:O68" si="4">SUM(G5:N5)</f>
        <v>0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>
        <v>0</v>
      </c>
      <c r="AA5" s="34">
        <f>SUM(P5:Z5)</f>
        <v>0</v>
      </c>
      <c r="AB5" s="87">
        <v>0</v>
      </c>
      <c r="AC5" s="87">
        <v>0</v>
      </c>
      <c r="AD5" s="87">
        <v>0</v>
      </c>
      <c r="AE5" s="88">
        <v>0</v>
      </c>
      <c r="AF5" s="87">
        <v>0</v>
      </c>
      <c r="AG5" s="87"/>
      <c r="AH5" s="87">
        <v>0</v>
      </c>
      <c r="AI5" s="88"/>
      <c r="AJ5" s="87">
        <v>0</v>
      </c>
      <c r="AK5" s="3">
        <f t="shared" si="1"/>
        <v>0</v>
      </c>
      <c r="AL5" s="89"/>
      <c r="AM5" s="87"/>
      <c r="AN5" s="87"/>
      <c r="AO5" s="87">
        <f>+'[2]P 2-Salary '!$J$24</f>
        <v>57749</v>
      </c>
      <c r="AP5" s="87" t="s">
        <v>12</v>
      </c>
      <c r="AQ5" s="87"/>
      <c r="AR5" s="87"/>
      <c r="AS5" s="87"/>
      <c r="AT5" s="87"/>
      <c r="AU5" s="3">
        <f t="shared" si="2"/>
        <v>57749</v>
      </c>
      <c r="AV5" s="109"/>
      <c r="AW5" s="109"/>
      <c r="AX5" s="96">
        <v>0</v>
      </c>
      <c r="AY5" s="98">
        <v>0</v>
      </c>
      <c r="AZ5" s="176"/>
      <c r="BA5" s="176"/>
      <c r="BB5" s="3">
        <f t="shared" ref="BB5:BB68" si="5">SUM(AX5:BA5)</f>
        <v>0</v>
      </c>
      <c r="BC5" s="35"/>
      <c r="BD5" s="35"/>
      <c r="BE5" s="35"/>
      <c r="BF5" s="35"/>
      <c r="BG5" s="35"/>
      <c r="BH5" s="35"/>
      <c r="BI5" s="73"/>
      <c r="BJ5" s="35"/>
      <c r="BL5">
        <f>+D5*5%</f>
        <v>2749.9992000000002</v>
      </c>
      <c r="BM5" s="91">
        <f>+BL5+D5</f>
        <v>57749.983199999995</v>
      </c>
    </row>
    <row r="6" spans="1:71" ht="14.25" customHeight="1" x14ac:dyDescent="0.25">
      <c r="A6" s="71">
        <f t="shared" ref="A6:A69" si="6">+A5+1</f>
        <v>3</v>
      </c>
      <c r="B6" s="67" t="s">
        <v>26</v>
      </c>
      <c r="C6" s="24">
        <v>24.038499999999999</v>
      </c>
      <c r="D6" s="65">
        <f t="shared" si="0"/>
        <v>50000.08</v>
      </c>
      <c r="E6" s="113">
        <f t="shared" si="3"/>
        <v>52500</v>
      </c>
      <c r="F6" s="184">
        <f t="shared" ref="F6:F69" si="7">+E6-D6</f>
        <v>2499.9199999999983</v>
      </c>
      <c r="G6" s="166">
        <v>13125</v>
      </c>
      <c r="H6" s="166"/>
      <c r="I6" s="166"/>
      <c r="J6" s="166"/>
      <c r="K6" s="166"/>
      <c r="L6" s="166"/>
      <c r="M6" s="166"/>
      <c r="N6" s="96">
        <v>39375</v>
      </c>
      <c r="O6" s="34">
        <f t="shared" si="4"/>
        <v>52500</v>
      </c>
      <c r="P6" s="98"/>
      <c r="Q6" s="98"/>
      <c r="R6" s="98"/>
      <c r="S6" s="98"/>
      <c r="T6" s="98"/>
      <c r="U6" s="98"/>
      <c r="V6" s="98"/>
      <c r="W6" s="98"/>
      <c r="X6" s="98"/>
      <c r="Y6" s="98"/>
      <c r="Z6" s="98">
        <v>0</v>
      </c>
      <c r="AA6" s="34">
        <f>SUM(P6:Z6)</f>
        <v>0</v>
      </c>
      <c r="AB6" s="87">
        <v>0</v>
      </c>
      <c r="AC6" s="87">
        <v>0</v>
      </c>
      <c r="AD6" s="87">
        <v>0</v>
      </c>
      <c r="AE6" s="88">
        <v>0</v>
      </c>
      <c r="AF6" s="87">
        <v>0</v>
      </c>
      <c r="AG6" s="87"/>
      <c r="AH6" s="87">
        <v>0</v>
      </c>
      <c r="AI6" s="88"/>
      <c r="AJ6" s="87">
        <v>0</v>
      </c>
      <c r="AK6" s="3">
        <f t="shared" si="1"/>
        <v>0</v>
      </c>
      <c r="AL6" s="89"/>
      <c r="AM6" s="87"/>
      <c r="AN6" s="87"/>
      <c r="AO6" s="87"/>
      <c r="AP6" s="87"/>
      <c r="AQ6" s="87"/>
      <c r="AR6" s="87"/>
      <c r="AS6" s="87"/>
      <c r="AT6" s="87"/>
      <c r="AU6" s="3">
        <f t="shared" si="2"/>
        <v>0</v>
      </c>
      <c r="AV6" s="109"/>
      <c r="AW6" s="109"/>
      <c r="AX6" s="96">
        <v>0</v>
      </c>
      <c r="AY6" s="98">
        <v>0</v>
      </c>
      <c r="AZ6" s="176"/>
      <c r="BA6" s="176"/>
      <c r="BB6" s="3">
        <f t="shared" si="5"/>
        <v>0</v>
      </c>
      <c r="BC6" s="35"/>
      <c r="BD6" s="35"/>
      <c r="BE6" s="35"/>
      <c r="BF6" s="35"/>
      <c r="BG6" s="35"/>
      <c r="BH6" s="35"/>
      <c r="BI6" s="73"/>
      <c r="BJ6" s="35"/>
      <c r="BL6">
        <f>+D6*5%</f>
        <v>2500.0040000000004</v>
      </c>
      <c r="BM6" s="91">
        <f>+BL6+D6</f>
        <v>52500.084000000003</v>
      </c>
    </row>
    <row r="7" spans="1:71" x14ac:dyDescent="0.25">
      <c r="A7" s="71">
        <f t="shared" si="6"/>
        <v>4</v>
      </c>
      <c r="B7" s="67" t="s">
        <v>23</v>
      </c>
      <c r="C7" s="24">
        <v>25.600999999999999</v>
      </c>
      <c r="D7" s="65">
        <f t="shared" si="0"/>
        <v>53250.080000000002</v>
      </c>
      <c r="E7" s="113">
        <f t="shared" si="3"/>
        <v>74363.16</v>
      </c>
      <c r="F7" s="184">
        <f t="shared" si="7"/>
        <v>21113.08</v>
      </c>
      <c r="G7" s="166"/>
      <c r="H7" s="166"/>
      <c r="I7" s="166"/>
      <c r="J7" s="166"/>
      <c r="K7" s="166">
        <v>7268.56</v>
      </c>
      <c r="L7" s="166">
        <v>11182.4</v>
      </c>
      <c r="M7" s="166"/>
      <c r="N7" s="96">
        <v>0</v>
      </c>
      <c r="O7" s="34">
        <f t="shared" si="4"/>
        <v>18450.96</v>
      </c>
      <c r="P7" s="98"/>
      <c r="Q7" s="98"/>
      <c r="R7" s="98"/>
      <c r="S7" s="98"/>
      <c r="T7" s="98"/>
      <c r="U7" s="98"/>
      <c r="V7" s="98"/>
      <c r="W7" s="98"/>
      <c r="X7" s="98"/>
      <c r="Y7" s="98"/>
      <c r="Z7" s="98">
        <v>0</v>
      </c>
      <c r="AA7" s="34">
        <f>SUM(P7:Z7)</f>
        <v>0</v>
      </c>
      <c r="AB7" s="87"/>
      <c r="AC7" s="87"/>
      <c r="AD7" s="87"/>
      <c r="AE7" s="88"/>
      <c r="AF7" s="87"/>
      <c r="AG7" s="87"/>
      <c r="AH7" s="87"/>
      <c r="AI7" s="88"/>
      <c r="AJ7" s="87"/>
      <c r="AK7" s="3">
        <f t="shared" si="1"/>
        <v>0</v>
      </c>
      <c r="AL7" s="89"/>
      <c r="AM7" s="87"/>
      <c r="AN7" s="87"/>
      <c r="AO7" s="87"/>
      <c r="AP7" s="87"/>
      <c r="AQ7" s="87"/>
      <c r="AR7" s="87">
        <f>+'[4]P 2-Salary '!$J$18</f>
        <v>11182.6</v>
      </c>
      <c r="AS7" s="87">
        <f>+'[5]P 2-Salary '!$J$25</f>
        <v>16773.599999999999</v>
      </c>
      <c r="AT7" s="87">
        <f>+'[6]P 2-Salary '!$J$19</f>
        <v>27956</v>
      </c>
      <c r="AU7" s="3">
        <f t="shared" si="2"/>
        <v>55912.2</v>
      </c>
      <c r="AV7" s="109"/>
      <c r="AW7" s="109"/>
      <c r="AX7" s="96">
        <v>0</v>
      </c>
      <c r="AY7" s="98">
        <v>0</v>
      </c>
      <c r="AZ7" s="176"/>
      <c r="BA7" s="176"/>
      <c r="BB7" s="3">
        <f t="shared" si="5"/>
        <v>0</v>
      </c>
      <c r="BC7" s="35"/>
      <c r="BD7" s="35"/>
      <c r="BE7" s="35"/>
      <c r="BF7" s="35"/>
      <c r="BG7" s="35"/>
      <c r="BH7" s="35"/>
      <c r="BI7" s="73"/>
      <c r="BJ7" s="35"/>
      <c r="BL7">
        <f>+D7*5%</f>
        <v>2662.5040000000004</v>
      </c>
      <c r="BM7" s="91">
        <f>+BL7+D7</f>
        <v>55912.584000000003</v>
      </c>
    </row>
    <row r="8" spans="1:71" x14ac:dyDescent="0.25">
      <c r="A8" s="71">
        <f t="shared" si="6"/>
        <v>5</v>
      </c>
      <c r="B8" s="67" t="s">
        <v>100</v>
      </c>
      <c r="C8" s="24">
        <v>24.038499999999999</v>
      </c>
      <c r="D8" s="65">
        <f t="shared" si="0"/>
        <v>50000.08</v>
      </c>
      <c r="E8" s="113">
        <f t="shared" si="3"/>
        <v>55913</v>
      </c>
      <c r="F8" s="184">
        <f t="shared" si="7"/>
        <v>5912.9199999999983</v>
      </c>
      <c r="G8" s="166"/>
      <c r="H8" s="166"/>
      <c r="I8" s="166"/>
      <c r="J8" s="166"/>
      <c r="K8" s="166"/>
      <c r="L8" s="166"/>
      <c r="M8" s="166"/>
      <c r="N8" s="96">
        <v>0</v>
      </c>
      <c r="O8" s="34">
        <f t="shared" si="4"/>
        <v>0</v>
      </c>
      <c r="P8" s="98"/>
      <c r="Q8" s="98"/>
      <c r="R8" s="98"/>
      <c r="S8" s="98"/>
      <c r="T8" s="98"/>
      <c r="U8" s="98"/>
      <c r="V8" s="98"/>
      <c r="W8" s="98"/>
      <c r="X8" s="98"/>
      <c r="Y8" s="98"/>
      <c r="Z8" s="98">
        <v>0</v>
      </c>
      <c r="AA8" s="34">
        <f>SUM(P8:Z8)</f>
        <v>0</v>
      </c>
      <c r="AB8" s="87"/>
      <c r="AC8" s="87"/>
      <c r="AD8" s="87"/>
      <c r="AE8" s="89">
        <v>55913</v>
      </c>
      <c r="AF8" s="87"/>
      <c r="AG8" s="87"/>
      <c r="AH8" s="87"/>
      <c r="AI8" s="88"/>
      <c r="AJ8" s="87"/>
      <c r="AK8" s="3">
        <f t="shared" si="1"/>
        <v>55913</v>
      </c>
      <c r="AL8" s="89"/>
      <c r="AM8" s="87"/>
      <c r="AN8" s="87"/>
      <c r="AO8" s="87"/>
      <c r="AP8" s="87"/>
      <c r="AQ8" s="87"/>
      <c r="AR8" s="87"/>
      <c r="AS8" s="87"/>
      <c r="AT8" s="87"/>
      <c r="AU8" s="3">
        <f t="shared" si="2"/>
        <v>0</v>
      </c>
      <c r="AV8" s="109"/>
      <c r="AW8" s="109"/>
      <c r="AX8" s="96">
        <v>0</v>
      </c>
      <c r="AY8" s="98">
        <v>0</v>
      </c>
      <c r="AZ8" s="176"/>
      <c r="BA8" s="176"/>
      <c r="BB8" s="3">
        <f t="shared" si="5"/>
        <v>0</v>
      </c>
      <c r="BC8" s="35"/>
      <c r="BD8" s="35"/>
      <c r="BE8" s="35"/>
      <c r="BF8" s="35"/>
      <c r="BG8" s="35"/>
      <c r="BH8" s="35"/>
      <c r="BI8" s="73"/>
      <c r="BJ8" s="35"/>
      <c r="BL8">
        <f>+D8*5%</f>
        <v>2500.0040000000004</v>
      </c>
      <c r="BM8" s="91">
        <f>+BL8+D8</f>
        <v>52500.084000000003</v>
      </c>
    </row>
    <row r="9" spans="1:71" x14ac:dyDescent="0.25">
      <c r="A9" s="71">
        <f t="shared" si="6"/>
        <v>6</v>
      </c>
      <c r="B9" s="11" t="s">
        <v>18</v>
      </c>
      <c r="C9" s="24">
        <v>24.038499999999999</v>
      </c>
      <c r="D9" s="65">
        <f t="shared" si="0"/>
        <v>50000.08</v>
      </c>
      <c r="E9" s="113">
        <f t="shared" si="3"/>
        <v>61982.7</v>
      </c>
      <c r="F9" s="184">
        <f t="shared" si="7"/>
        <v>11982.619999999995</v>
      </c>
      <c r="G9" s="166">
        <v>5250</v>
      </c>
      <c r="H9" s="166">
        <v>1050</v>
      </c>
      <c r="I9" s="166">
        <v>2100</v>
      </c>
      <c r="J9" s="166">
        <v>4200</v>
      </c>
      <c r="K9" s="166">
        <v>1575</v>
      </c>
      <c r="L9" s="166"/>
      <c r="M9" s="166">
        <v>2625</v>
      </c>
      <c r="N9" s="96">
        <v>7875</v>
      </c>
      <c r="O9" s="34">
        <f t="shared" si="4"/>
        <v>24675</v>
      </c>
      <c r="P9" s="98"/>
      <c r="Q9" s="98"/>
      <c r="R9" s="98"/>
      <c r="S9" s="98"/>
      <c r="T9" s="98"/>
      <c r="U9" s="98"/>
      <c r="V9" s="98"/>
      <c r="W9" s="98"/>
      <c r="X9" s="98"/>
      <c r="Y9" s="98"/>
      <c r="Z9" s="98">
        <v>0</v>
      </c>
      <c r="AA9" s="34">
        <f>SUM(P9:Z9)</f>
        <v>0</v>
      </c>
      <c r="AB9" s="87"/>
      <c r="AC9" s="87"/>
      <c r="AD9" s="87"/>
      <c r="AE9" s="88"/>
      <c r="AF9" s="87"/>
      <c r="AG9" s="87">
        <v>0</v>
      </c>
      <c r="AH9" s="87"/>
      <c r="AI9" s="88">
        <v>0</v>
      </c>
      <c r="AJ9" s="87"/>
      <c r="AK9" s="3">
        <f t="shared" si="1"/>
        <v>0</v>
      </c>
      <c r="AL9" s="89"/>
      <c r="AM9" s="87"/>
      <c r="AN9" s="87"/>
      <c r="AO9" s="87">
        <v>0</v>
      </c>
      <c r="AP9" s="87"/>
      <c r="AQ9" s="87"/>
      <c r="AR9" s="87"/>
      <c r="AS9" s="87"/>
      <c r="AT9" s="87"/>
      <c r="AU9" s="3">
        <f t="shared" si="2"/>
        <v>0</v>
      </c>
      <c r="AV9" s="130">
        <v>0</v>
      </c>
      <c r="AW9" s="130">
        <v>24000</v>
      </c>
      <c r="AX9" s="96">
        <v>6000</v>
      </c>
      <c r="AY9" s="98">
        <v>0</v>
      </c>
      <c r="AZ9" s="177">
        <v>7307.7</v>
      </c>
      <c r="BA9" s="176"/>
      <c r="BB9" s="3">
        <f t="shared" si="5"/>
        <v>13307.7</v>
      </c>
      <c r="BC9" s="35"/>
      <c r="BD9" s="35"/>
      <c r="BE9" s="35"/>
      <c r="BF9" s="35"/>
      <c r="BG9" s="35"/>
      <c r="BH9" s="35"/>
      <c r="BI9" s="73"/>
      <c r="BJ9" s="35"/>
      <c r="BL9">
        <f>+D9*5%</f>
        <v>2500.0040000000004</v>
      </c>
      <c r="BM9" s="91">
        <f>+BL9+D9</f>
        <v>52500.084000000003</v>
      </c>
      <c r="BO9" t="s">
        <v>12</v>
      </c>
      <c r="BP9" t="s">
        <v>12</v>
      </c>
      <c r="BQ9" t="s">
        <v>12</v>
      </c>
      <c r="BR9" t="s">
        <v>12</v>
      </c>
      <c r="BS9" t="s">
        <v>12</v>
      </c>
    </row>
    <row r="10" spans="1:71" x14ac:dyDescent="0.25">
      <c r="A10" s="71">
        <f t="shared" si="6"/>
        <v>7</v>
      </c>
      <c r="B10" s="67" t="s">
        <v>90</v>
      </c>
      <c r="C10" s="24">
        <v>24.038499999999999</v>
      </c>
      <c r="D10" s="65">
        <f t="shared" si="0"/>
        <v>50000.08</v>
      </c>
      <c r="E10" s="113">
        <f t="shared" si="3"/>
        <v>58157</v>
      </c>
      <c r="F10" s="184">
        <f t="shared" si="7"/>
        <v>8156.9199999999983</v>
      </c>
      <c r="G10" s="166"/>
      <c r="H10" s="166"/>
      <c r="I10" s="166"/>
      <c r="J10" s="166"/>
      <c r="K10" s="166"/>
      <c r="L10" s="166"/>
      <c r="M10" s="166"/>
      <c r="N10" s="96">
        <v>0</v>
      </c>
      <c r="O10" s="34">
        <f t="shared" si="4"/>
        <v>0</v>
      </c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>
        <v>0</v>
      </c>
      <c r="AA10" s="34">
        <f>SUM(P10:Z10)</f>
        <v>0</v>
      </c>
      <c r="AB10" s="87"/>
      <c r="AC10" s="87"/>
      <c r="AD10" s="87"/>
      <c r="AE10" s="89">
        <v>10000</v>
      </c>
      <c r="AF10" s="89">
        <v>10000</v>
      </c>
      <c r="AG10" s="89">
        <f>50257-30000+17900</f>
        <v>38157</v>
      </c>
      <c r="AH10" s="87"/>
      <c r="AI10" s="88"/>
      <c r="AJ10" s="87"/>
      <c r="AK10" s="3">
        <f t="shared" si="1"/>
        <v>58157</v>
      </c>
      <c r="AL10" s="89"/>
      <c r="AM10" s="87"/>
      <c r="AN10" s="87"/>
      <c r="AO10" s="87">
        <v>0</v>
      </c>
      <c r="AP10" s="87"/>
      <c r="AQ10" s="87"/>
      <c r="AR10" s="87"/>
      <c r="AS10" s="87"/>
      <c r="AT10" s="87"/>
      <c r="AU10" s="3">
        <f t="shared" si="2"/>
        <v>0</v>
      </c>
      <c r="AV10" s="109"/>
      <c r="AW10" s="109"/>
      <c r="AX10" s="96">
        <v>0</v>
      </c>
      <c r="AY10" s="98">
        <v>0</v>
      </c>
      <c r="AZ10" s="176"/>
      <c r="BA10" s="176"/>
      <c r="BB10" s="3">
        <f t="shared" si="5"/>
        <v>0</v>
      </c>
      <c r="BC10" s="35"/>
      <c r="BD10" s="35"/>
      <c r="BE10" s="35"/>
      <c r="BF10" s="35"/>
      <c r="BG10" s="35"/>
      <c r="BH10" s="35"/>
      <c r="BI10" s="73"/>
      <c r="BJ10" s="35"/>
      <c r="BL10">
        <f>+D10*5%</f>
        <v>2500.0040000000004</v>
      </c>
      <c r="BM10" s="91">
        <f>+BL10+D10</f>
        <v>52500.084000000003</v>
      </c>
      <c r="BN10" t="s">
        <v>12</v>
      </c>
      <c r="BO10" t="s">
        <v>12</v>
      </c>
      <c r="BP10" t="s">
        <v>12</v>
      </c>
      <c r="BQ10" t="s">
        <v>12</v>
      </c>
    </row>
    <row r="11" spans="1:71" x14ac:dyDescent="0.25">
      <c r="A11" s="71">
        <f t="shared" si="6"/>
        <v>8</v>
      </c>
      <c r="B11" s="67" t="s">
        <v>38</v>
      </c>
      <c r="C11" s="24">
        <v>33.281300000000002</v>
      </c>
      <c r="D11" s="65">
        <f t="shared" si="0"/>
        <v>69225.104000000007</v>
      </c>
      <c r="E11" s="113">
        <f t="shared" si="3"/>
        <v>70850.7</v>
      </c>
      <c r="F11" s="184">
        <f t="shared" si="7"/>
        <v>1625.5959999999905</v>
      </c>
      <c r="G11" s="166"/>
      <c r="H11" s="166"/>
      <c r="I11" s="166"/>
      <c r="J11" s="166"/>
      <c r="K11" s="166"/>
      <c r="L11" s="166"/>
      <c r="M11" s="166"/>
      <c r="N11" s="96">
        <v>0</v>
      </c>
      <c r="O11" s="34">
        <f t="shared" si="4"/>
        <v>0</v>
      </c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>
        <v>0</v>
      </c>
      <c r="AA11" s="34">
        <f>SUM(P11:Z11)</f>
        <v>0</v>
      </c>
      <c r="AB11" s="87"/>
      <c r="AC11" s="87"/>
      <c r="AD11" s="87"/>
      <c r="AE11" s="88"/>
      <c r="AF11" s="89">
        <v>29074</v>
      </c>
      <c r="AG11" s="89">
        <f>35000+13570-20000-15000-900</f>
        <v>12670</v>
      </c>
      <c r="AH11" s="89">
        <v>5325.01</v>
      </c>
      <c r="AI11" s="88">
        <v>0</v>
      </c>
      <c r="AJ11" s="89">
        <v>14280</v>
      </c>
      <c r="AK11" s="3">
        <f t="shared" si="1"/>
        <v>61349.01</v>
      </c>
      <c r="AL11" s="89"/>
      <c r="AM11" s="87"/>
      <c r="AN11" s="87"/>
      <c r="AO11" s="87"/>
      <c r="AP11" s="87"/>
      <c r="AQ11" s="87"/>
      <c r="AR11" s="87"/>
      <c r="AS11" s="87"/>
      <c r="AT11" s="87"/>
      <c r="AU11" s="3">
        <f t="shared" si="2"/>
        <v>0</v>
      </c>
      <c r="AV11" s="130">
        <v>9501.69</v>
      </c>
      <c r="AW11" s="109"/>
      <c r="AX11" s="96">
        <v>0</v>
      </c>
      <c r="AY11" s="98">
        <v>0</v>
      </c>
      <c r="AZ11" s="176"/>
      <c r="BA11" s="176"/>
      <c r="BB11" s="3">
        <f t="shared" si="5"/>
        <v>0</v>
      </c>
      <c r="BC11" s="35"/>
      <c r="BD11" s="35"/>
      <c r="BE11" s="35"/>
      <c r="BF11" s="35"/>
      <c r="BG11" s="35"/>
      <c r="BH11" s="35"/>
      <c r="BI11" s="73"/>
      <c r="BJ11" s="35"/>
      <c r="BL11">
        <f>+D11*5%</f>
        <v>3461.2552000000005</v>
      </c>
      <c r="BM11" s="91">
        <f>+BL11+D11</f>
        <v>72686.359200000006</v>
      </c>
      <c r="BN11" s="30" t="s">
        <v>12</v>
      </c>
      <c r="BO11" s="30" t="s">
        <v>12</v>
      </c>
      <c r="BP11" s="30" t="s">
        <v>12</v>
      </c>
      <c r="BQ11" s="30" t="s">
        <v>12</v>
      </c>
    </row>
    <row r="12" spans="1:71" ht="15" customHeight="1" x14ac:dyDescent="0.25">
      <c r="A12" s="71">
        <f t="shared" si="6"/>
        <v>9</v>
      </c>
      <c r="B12" s="67" t="s">
        <v>148</v>
      </c>
      <c r="C12" s="119">
        <v>32.706400000000002</v>
      </c>
      <c r="D12" s="65">
        <f t="shared" si="0"/>
        <v>68029.312000000005</v>
      </c>
      <c r="E12" s="113">
        <f t="shared" si="3"/>
        <v>71101.37</v>
      </c>
      <c r="F12" s="184">
        <f t="shared" si="7"/>
        <v>3072.05799999999</v>
      </c>
      <c r="G12" s="166"/>
      <c r="H12" s="166"/>
      <c r="I12" s="166">
        <v>3503.5</v>
      </c>
      <c r="J12" s="166"/>
      <c r="K12" s="166"/>
      <c r="L12" s="166"/>
      <c r="M12" s="166"/>
      <c r="N12" s="96">
        <v>0</v>
      </c>
      <c r="O12" s="34">
        <f t="shared" si="4"/>
        <v>3503.5</v>
      </c>
      <c r="P12" s="98"/>
      <c r="Q12" s="98"/>
      <c r="R12" s="98">
        <v>6306.3</v>
      </c>
      <c r="S12" s="98"/>
      <c r="T12" s="98"/>
      <c r="U12" s="98"/>
      <c r="V12" s="98"/>
      <c r="W12" s="98"/>
      <c r="X12" s="98"/>
      <c r="Y12" s="98"/>
      <c r="Z12" s="98">
        <v>0</v>
      </c>
      <c r="AA12" s="34">
        <f>SUM(P12:Z12)</f>
        <v>6306.3</v>
      </c>
      <c r="AB12" s="87"/>
      <c r="AC12" s="87"/>
      <c r="AD12" s="89">
        <v>42597</v>
      </c>
      <c r="AE12" s="88"/>
      <c r="AF12" s="87"/>
      <c r="AG12" s="87"/>
      <c r="AH12" s="88">
        <v>0</v>
      </c>
      <c r="AI12" s="88"/>
      <c r="AJ12" s="87"/>
      <c r="AK12" s="3">
        <f t="shared" si="1"/>
        <v>42597</v>
      </c>
      <c r="AL12" s="89"/>
      <c r="AM12" s="87"/>
      <c r="AN12" s="87"/>
      <c r="AO12" s="87"/>
      <c r="AP12" s="87"/>
      <c r="AQ12" s="87"/>
      <c r="AR12" s="87"/>
      <c r="AS12" s="87"/>
      <c r="AT12" s="87"/>
      <c r="AU12" s="3">
        <f t="shared" si="2"/>
        <v>0</v>
      </c>
      <c r="AV12" s="109"/>
      <c r="AW12" s="109"/>
      <c r="AX12" s="96">
        <v>0</v>
      </c>
      <c r="AY12" s="98">
        <v>0</v>
      </c>
      <c r="AZ12" s="177">
        <v>5219.53</v>
      </c>
      <c r="BA12" s="176"/>
      <c r="BB12" s="3">
        <f t="shared" si="5"/>
        <v>5219.53</v>
      </c>
      <c r="BC12" s="35"/>
      <c r="BD12" s="35"/>
      <c r="BE12" s="35"/>
      <c r="BF12" s="35"/>
      <c r="BG12" s="35"/>
      <c r="BH12" s="73">
        <f>26557.58-13082.54</f>
        <v>13475.04</v>
      </c>
      <c r="BI12" s="73"/>
      <c r="BJ12" s="35"/>
      <c r="BL12">
        <f>+D12*5%</f>
        <v>3401.4656000000004</v>
      </c>
      <c r="BM12" s="91">
        <f>+BL12+D12</f>
        <v>71430.777600000001</v>
      </c>
    </row>
    <row r="13" spans="1:71" x14ac:dyDescent="0.25">
      <c r="A13" s="71">
        <f t="shared" si="6"/>
        <v>10</v>
      </c>
      <c r="B13" s="10" t="s">
        <v>13</v>
      </c>
      <c r="C13" s="120">
        <v>31.25</v>
      </c>
      <c r="D13" s="65">
        <f t="shared" si="0"/>
        <v>65000</v>
      </c>
      <c r="E13" s="113">
        <f t="shared" si="3"/>
        <v>93163.75</v>
      </c>
      <c r="F13" s="184">
        <f t="shared" si="7"/>
        <v>28163.75</v>
      </c>
      <c r="G13" s="166">
        <v>2730</v>
      </c>
      <c r="H13" s="166">
        <v>1365</v>
      </c>
      <c r="I13" s="166"/>
      <c r="J13" s="166">
        <v>3412.5</v>
      </c>
      <c r="K13" s="166">
        <v>2047.5</v>
      </c>
      <c r="L13" s="166">
        <v>3412.5</v>
      </c>
      <c r="M13" s="166">
        <v>4095</v>
      </c>
      <c r="N13" s="96">
        <v>2730</v>
      </c>
      <c r="O13" s="34">
        <f t="shared" si="4"/>
        <v>19792.5</v>
      </c>
      <c r="P13" s="98">
        <v>2730</v>
      </c>
      <c r="Q13" s="98">
        <v>1365</v>
      </c>
      <c r="R13" s="98"/>
      <c r="S13" s="98"/>
      <c r="T13" s="98">
        <v>2047.5</v>
      </c>
      <c r="U13" s="98">
        <v>1365</v>
      </c>
      <c r="V13" s="98"/>
      <c r="W13" s="98"/>
      <c r="X13" s="98">
        <v>2047.5</v>
      </c>
      <c r="Y13" s="98"/>
      <c r="Z13" s="98">
        <v>2047.5</v>
      </c>
      <c r="AA13" s="34">
        <f>SUM(P13:Z13)</f>
        <v>11602.5</v>
      </c>
      <c r="AB13" s="87"/>
      <c r="AC13" s="87"/>
      <c r="AD13" s="89">
        <v>6825</v>
      </c>
      <c r="AE13" s="89">
        <v>6825</v>
      </c>
      <c r="AF13" s="87"/>
      <c r="AG13" s="87"/>
      <c r="AH13" s="89">
        <v>5625</v>
      </c>
      <c r="AI13" s="89">
        <v>3250</v>
      </c>
      <c r="AJ13" s="89">
        <v>6825</v>
      </c>
      <c r="AK13" s="3">
        <f t="shared" si="1"/>
        <v>29350</v>
      </c>
      <c r="AL13" s="89"/>
      <c r="AM13" s="87"/>
      <c r="AN13" s="87">
        <f>+'[7]P 2-Salary '!$J$24</f>
        <v>6825</v>
      </c>
      <c r="AO13" s="87">
        <f>+'[2]P 2-Salary '!$J$30</f>
        <v>6825</v>
      </c>
      <c r="AP13" s="87"/>
      <c r="AQ13" s="87"/>
      <c r="AR13" s="87">
        <f>+'[4]P 2-Salary '!$J$24</f>
        <v>3412.5</v>
      </c>
      <c r="AS13" s="87"/>
      <c r="AT13" s="87">
        <f>+'[6]P 2-Salary '!$J$23</f>
        <v>6825</v>
      </c>
      <c r="AU13" s="3">
        <f t="shared" si="2"/>
        <v>23887.5</v>
      </c>
      <c r="AV13" s="109">
        <v>0</v>
      </c>
      <c r="AW13" s="130">
        <v>4550</v>
      </c>
      <c r="AX13" s="96">
        <v>0</v>
      </c>
      <c r="AY13" s="98">
        <v>0</v>
      </c>
      <c r="AZ13" s="176">
        <v>2031.25</v>
      </c>
      <c r="BA13" s="176">
        <v>0</v>
      </c>
      <c r="BB13" s="3">
        <f t="shared" si="5"/>
        <v>2031.25</v>
      </c>
      <c r="BC13" s="35"/>
      <c r="BD13" s="35"/>
      <c r="BE13" s="35"/>
      <c r="BF13" s="35"/>
      <c r="BG13" s="35"/>
      <c r="BH13" s="35"/>
      <c r="BI13" s="73">
        <v>1950</v>
      </c>
      <c r="BJ13" s="35"/>
      <c r="BL13">
        <f>+D13*5%</f>
        <v>3250</v>
      </c>
      <c r="BM13" s="91">
        <f>+BL13+D13</f>
        <v>68250</v>
      </c>
    </row>
    <row r="14" spans="1:71" ht="14.25" customHeight="1" x14ac:dyDescent="0.25">
      <c r="A14" s="71">
        <f t="shared" si="6"/>
        <v>11</v>
      </c>
      <c r="B14" s="67" t="s">
        <v>30</v>
      </c>
      <c r="C14" s="24">
        <v>32.692300000000003</v>
      </c>
      <c r="D14" s="65">
        <f t="shared" si="0"/>
        <v>67999.984000000011</v>
      </c>
      <c r="E14" s="113">
        <f t="shared" si="3"/>
        <v>74222</v>
      </c>
      <c r="F14" s="184">
        <f t="shared" si="7"/>
        <v>6222.0159999999887</v>
      </c>
      <c r="G14" s="166"/>
      <c r="H14" s="166"/>
      <c r="I14" s="166"/>
      <c r="J14" s="166"/>
      <c r="K14" s="166"/>
      <c r="L14" s="166"/>
      <c r="M14" s="166"/>
      <c r="N14" s="96">
        <v>0</v>
      </c>
      <c r="O14" s="34">
        <f t="shared" si="4"/>
        <v>0</v>
      </c>
      <c r="P14" s="98">
        <v>5712</v>
      </c>
      <c r="Q14" s="98"/>
      <c r="R14" s="98"/>
      <c r="S14" s="98"/>
      <c r="T14" s="98"/>
      <c r="U14" s="98"/>
      <c r="V14" s="98"/>
      <c r="W14" s="98"/>
      <c r="X14" s="98"/>
      <c r="Y14" s="98"/>
      <c r="Z14" s="98">
        <v>7140</v>
      </c>
      <c r="AA14" s="34">
        <f>SUM(P14:Z14)</f>
        <v>12852</v>
      </c>
      <c r="AB14" s="89">
        <v>7140</v>
      </c>
      <c r="AC14" s="89">
        <v>24990</v>
      </c>
      <c r="AD14" s="89">
        <v>24990</v>
      </c>
      <c r="AE14" s="88"/>
      <c r="AF14" s="87"/>
      <c r="AG14" s="87"/>
      <c r="AH14" s="89">
        <v>4250</v>
      </c>
      <c r="AI14" s="88"/>
      <c r="AJ14" s="87"/>
      <c r="AK14" s="3">
        <f t="shared" si="1"/>
        <v>61370</v>
      </c>
      <c r="AL14" s="89"/>
      <c r="AM14" s="87"/>
      <c r="AN14" s="87"/>
      <c r="AO14" s="87"/>
      <c r="AP14" s="87"/>
      <c r="AQ14" s="87"/>
      <c r="AR14" s="87"/>
      <c r="AS14" s="87"/>
      <c r="AT14" s="87"/>
      <c r="AU14" s="3">
        <f t="shared" si="2"/>
        <v>0</v>
      </c>
      <c r="AV14" s="109"/>
      <c r="AW14" s="109"/>
      <c r="AX14" s="96">
        <v>0</v>
      </c>
      <c r="AY14" s="98">
        <v>0</v>
      </c>
      <c r="AZ14" s="176"/>
      <c r="BA14" s="176"/>
      <c r="BB14" s="3">
        <f t="shared" si="5"/>
        <v>0</v>
      </c>
      <c r="BC14" s="35"/>
      <c r="BD14" s="35"/>
      <c r="BE14" s="35"/>
      <c r="BF14" s="35"/>
      <c r="BG14" s="35"/>
      <c r="BH14" s="35"/>
      <c r="BI14" s="73"/>
      <c r="BJ14" s="35"/>
      <c r="BL14">
        <f>+D14*5%</f>
        <v>3399.9992000000007</v>
      </c>
      <c r="BM14" s="91">
        <f>+BL14+D14</f>
        <v>71399.983200000017</v>
      </c>
    </row>
    <row r="15" spans="1:71" ht="16.5" customHeight="1" x14ac:dyDescent="0.25">
      <c r="A15" s="71">
        <f t="shared" si="6"/>
        <v>12</v>
      </c>
      <c r="B15" s="67" t="s">
        <v>144</v>
      </c>
      <c r="C15" s="24">
        <v>24.038499999999999</v>
      </c>
      <c r="D15" s="65">
        <f t="shared" si="0"/>
        <v>50000.08</v>
      </c>
      <c r="E15" s="113">
        <f t="shared" si="3"/>
        <v>52500</v>
      </c>
      <c r="F15" s="184">
        <f t="shared" si="7"/>
        <v>2499.9199999999983</v>
      </c>
      <c r="G15" s="166"/>
      <c r="H15" s="166"/>
      <c r="I15" s="166"/>
      <c r="J15" s="166"/>
      <c r="K15" s="166"/>
      <c r="L15" s="166"/>
      <c r="M15" s="166"/>
      <c r="N15" s="96">
        <v>0</v>
      </c>
      <c r="O15" s="34">
        <f t="shared" si="4"/>
        <v>0</v>
      </c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>
        <v>0</v>
      </c>
      <c r="AA15" s="34">
        <f>SUM(P15:Z15)</f>
        <v>0</v>
      </c>
      <c r="AB15" s="87"/>
      <c r="AC15" s="87"/>
      <c r="AD15" s="89">
        <v>0</v>
      </c>
      <c r="AE15" s="89">
        <v>52500</v>
      </c>
      <c r="AF15" s="87"/>
      <c r="AG15" s="87"/>
      <c r="AH15" s="88"/>
      <c r="AI15" s="88"/>
      <c r="AJ15" s="87"/>
      <c r="AK15" s="3">
        <f t="shared" si="1"/>
        <v>52500</v>
      </c>
      <c r="AL15" s="89"/>
      <c r="AM15" s="87"/>
      <c r="AN15" s="87"/>
      <c r="AO15" s="87"/>
      <c r="AP15" s="87"/>
      <c r="AQ15" s="87"/>
      <c r="AR15" s="87"/>
      <c r="AS15" s="87"/>
      <c r="AT15" s="87"/>
      <c r="AU15" s="3">
        <f t="shared" si="2"/>
        <v>0</v>
      </c>
      <c r="AV15" s="109"/>
      <c r="AW15" s="109"/>
      <c r="AX15" s="96">
        <v>0</v>
      </c>
      <c r="AY15" s="98">
        <v>0</v>
      </c>
      <c r="AZ15" s="176"/>
      <c r="BA15" s="176"/>
      <c r="BB15" s="3">
        <f t="shared" si="5"/>
        <v>0</v>
      </c>
      <c r="BC15" s="35"/>
      <c r="BD15" s="35"/>
      <c r="BE15" s="35"/>
      <c r="BF15" s="35"/>
      <c r="BG15" s="35"/>
      <c r="BH15" s="35"/>
      <c r="BI15" s="73"/>
      <c r="BJ15" s="35"/>
      <c r="BL15">
        <f>+D15*5%</f>
        <v>2500.0040000000004</v>
      </c>
      <c r="BM15" s="91">
        <f>+BL15+D15</f>
        <v>52500.084000000003</v>
      </c>
      <c r="BN15" t="s">
        <v>12</v>
      </c>
      <c r="BP15" t="s">
        <v>12</v>
      </c>
    </row>
    <row r="16" spans="1:71" ht="15.75" customHeight="1" x14ac:dyDescent="0.25">
      <c r="A16" s="71">
        <f t="shared" si="6"/>
        <v>13</v>
      </c>
      <c r="B16" s="11" t="s">
        <v>29</v>
      </c>
      <c r="C16" s="24">
        <v>31.25</v>
      </c>
      <c r="D16" s="65">
        <f t="shared" si="0"/>
        <v>65000</v>
      </c>
      <c r="E16" s="113">
        <f t="shared" si="3"/>
        <v>81485</v>
      </c>
      <c r="F16" s="184">
        <f t="shared" si="7"/>
        <v>16485</v>
      </c>
      <c r="G16" s="166">
        <v>3412.5</v>
      </c>
      <c r="H16" s="166">
        <v>1365</v>
      </c>
      <c r="I16" s="166"/>
      <c r="J16" s="166">
        <v>4095</v>
      </c>
      <c r="K16" s="166">
        <v>2047.5</v>
      </c>
      <c r="L16" s="166">
        <v>3412.5</v>
      </c>
      <c r="M16" s="166"/>
      <c r="N16" s="96">
        <f>+'[3]PC Admin &amp; Client (Regular)'!$E$24</f>
        <v>2047.5</v>
      </c>
      <c r="O16" s="34">
        <f t="shared" si="4"/>
        <v>16380</v>
      </c>
      <c r="P16" s="98">
        <v>2730</v>
      </c>
      <c r="Q16" s="98">
        <v>1365</v>
      </c>
      <c r="R16" s="98"/>
      <c r="S16" s="98"/>
      <c r="T16" s="98">
        <v>2047.5</v>
      </c>
      <c r="U16" s="98">
        <v>1365</v>
      </c>
      <c r="V16" s="98"/>
      <c r="W16" s="98"/>
      <c r="X16" s="98">
        <v>2047.5</v>
      </c>
      <c r="Y16" s="98"/>
      <c r="Z16" s="98">
        <v>0</v>
      </c>
      <c r="AA16" s="34">
        <f>SUM(P16:Z16)</f>
        <v>9555</v>
      </c>
      <c r="AB16" s="87"/>
      <c r="AC16" s="87"/>
      <c r="AD16" s="89">
        <v>6825</v>
      </c>
      <c r="AE16" s="89">
        <v>6825</v>
      </c>
      <c r="AF16" s="87"/>
      <c r="AG16" s="87"/>
      <c r="AH16" s="89">
        <v>4375</v>
      </c>
      <c r="AI16" s="89">
        <v>3250</v>
      </c>
      <c r="AJ16" s="89">
        <v>6825</v>
      </c>
      <c r="AK16" s="3">
        <f t="shared" si="1"/>
        <v>28100</v>
      </c>
      <c r="AL16" s="89"/>
      <c r="AM16" s="87"/>
      <c r="AN16" s="87">
        <f>+'[7]P 2-Salary '!$J$25</f>
        <v>6825</v>
      </c>
      <c r="AO16" s="87">
        <f>+'[2]P 2-Salary '!$J$31</f>
        <v>6825</v>
      </c>
      <c r="AP16" s="87"/>
      <c r="AQ16" s="87"/>
      <c r="AR16" s="87">
        <f>+'[4]P 2-Salary '!$J$25</f>
        <v>3412.5</v>
      </c>
      <c r="AS16" s="87"/>
      <c r="AT16" s="87">
        <f>+'[6]P 2-Salary '!$J$25</f>
        <v>6825</v>
      </c>
      <c r="AU16" s="3">
        <f t="shared" si="2"/>
        <v>23887.5</v>
      </c>
      <c r="AV16" s="130">
        <v>2625</v>
      </c>
      <c r="AW16" s="109"/>
      <c r="AX16" s="96">
        <v>0</v>
      </c>
      <c r="AY16" s="98">
        <v>0</v>
      </c>
      <c r="AZ16" s="176">
        <v>937.5</v>
      </c>
      <c r="BA16" s="176"/>
      <c r="BB16" s="3">
        <f t="shared" si="5"/>
        <v>937.5</v>
      </c>
      <c r="BC16" s="35"/>
      <c r="BD16" s="35"/>
      <c r="BE16" s="35"/>
      <c r="BF16" s="35"/>
      <c r="BG16" s="35"/>
      <c r="BH16" s="35"/>
      <c r="BI16" s="73"/>
      <c r="BJ16" s="35"/>
      <c r="BL16">
        <f>+D16*5%</f>
        <v>3250</v>
      </c>
      <c r="BM16" s="91">
        <f>+BL16+D16</f>
        <v>68250</v>
      </c>
      <c r="BO16" t="s">
        <v>12</v>
      </c>
    </row>
    <row r="17" spans="1:75" x14ac:dyDescent="0.25">
      <c r="A17" s="71">
        <f t="shared" si="6"/>
        <v>14</v>
      </c>
      <c r="B17" s="67" t="s">
        <v>42</v>
      </c>
      <c r="C17" s="24">
        <v>30.5547</v>
      </c>
      <c r="D17" s="65">
        <f t="shared" si="0"/>
        <v>63553.775999999998</v>
      </c>
      <c r="E17" s="113">
        <f t="shared" si="3"/>
        <v>70398.570000000007</v>
      </c>
      <c r="F17" s="184">
        <f t="shared" si="7"/>
        <v>6844.794000000009</v>
      </c>
      <c r="G17" s="166"/>
      <c r="H17" s="166"/>
      <c r="I17" s="166"/>
      <c r="J17" s="166"/>
      <c r="K17" s="166"/>
      <c r="L17" s="166"/>
      <c r="M17" s="166"/>
      <c r="N17" s="96">
        <v>0</v>
      </c>
      <c r="O17" s="34">
        <f t="shared" si="4"/>
        <v>0</v>
      </c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>
        <v>0</v>
      </c>
      <c r="AA17" s="34">
        <f>SUM(P17:Z17)</f>
        <v>0</v>
      </c>
      <c r="AB17" s="87"/>
      <c r="AC17" s="87"/>
      <c r="AD17" s="87"/>
      <c r="AE17" s="89">
        <v>66732</v>
      </c>
      <c r="AF17" s="87"/>
      <c r="AG17" s="87"/>
      <c r="AH17" s="89">
        <v>3666.57</v>
      </c>
      <c r="AI17" s="88"/>
      <c r="AJ17" s="87"/>
      <c r="AK17" s="3">
        <f t="shared" si="1"/>
        <v>70398.570000000007</v>
      </c>
      <c r="AL17" s="89"/>
      <c r="AM17" s="87"/>
      <c r="AN17" s="87"/>
      <c r="AO17" s="87"/>
      <c r="AP17" s="87"/>
      <c r="AQ17" s="87"/>
      <c r="AR17" s="87"/>
      <c r="AS17" s="87"/>
      <c r="AT17" s="87"/>
      <c r="AU17" s="3">
        <f t="shared" si="2"/>
        <v>0</v>
      </c>
      <c r="AV17" s="109"/>
      <c r="AW17" s="109"/>
      <c r="AX17" s="96">
        <v>0</v>
      </c>
      <c r="AY17" s="98">
        <v>0</v>
      </c>
      <c r="AZ17" s="176"/>
      <c r="BA17" s="176"/>
      <c r="BB17" s="3">
        <f t="shared" si="5"/>
        <v>0</v>
      </c>
      <c r="BC17" s="35"/>
      <c r="BD17" s="35"/>
      <c r="BE17" s="35"/>
      <c r="BF17" s="35"/>
      <c r="BG17" s="35"/>
      <c r="BH17" s="35"/>
      <c r="BI17" s="73"/>
      <c r="BJ17" s="35"/>
      <c r="BL17">
        <f>+D17*5%</f>
        <v>3177.6887999999999</v>
      </c>
      <c r="BM17" s="91">
        <f>+BL17+D17</f>
        <v>66731.464800000002</v>
      </c>
      <c r="BV17" t="s">
        <v>12</v>
      </c>
    </row>
    <row r="18" spans="1:75" ht="16.5" customHeight="1" x14ac:dyDescent="0.25">
      <c r="A18" s="71">
        <f t="shared" si="6"/>
        <v>15</v>
      </c>
      <c r="B18" s="67" t="s">
        <v>229</v>
      </c>
      <c r="C18" s="24">
        <v>36.538499999999999</v>
      </c>
      <c r="D18" s="65">
        <f t="shared" si="0"/>
        <v>76000.08</v>
      </c>
      <c r="E18" s="113">
        <f t="shared" si="3"/>
        <v>132948.35</v>
      </c>
      <c r="F18" s="184">
        <f t="shared" si="7"/>
        <v>56948.270000000004</v>
      </c>
      <c r="G18" s="166"/>
      <c r="H18" s="166"/>
      <c r="I18" s="166"/>
      <c r="J18" s="166"/>
      <c r="K18" s="166"/>
      <c r="L18" s="166"/>
      <c r="M18" s="166"/>
      <c r="N18" s="96">
        <v>0</v>
      </c>
      <c r="O18" s="34">
        <f t="shared" si="4"/>
        <v>0</v>
      </c>
      <c r="P18" s="98">
        <v>2907.44</v>
      </c>
      <c r="Q18" s="98">
        <v>1453.72</v>
      </c>
      <c r="R18" s="98"/>
      <c r="S18" s="98"/>
      <c r="T18" s="98">
        <v>5814.88</v>
      </c>
      <c r="U18" s="98">
        <v>5814.88</v>
      </c>
      <c r="V18" s="98"/>
      <c r="W18" s="98"/>
      <c r="X18" s="98">
        <v>7268.6</v>
      </c>
      <c r="Y18" s="98">
        <v>3634.3</v>
      </c>
      <c r="Z18" s="98">
        <v>0</v>
      </c>
      <c r="AA18" s="34">
        <f>SUM(P18:Z18)</f>
        <v>26893.820000000003</v>
      </c>
      <c r="AB18" s="89">
        <v>15960</v>
      </c>
      <c r="AC18" s="89">
        <v>15960</v>
      </c>
      <c r="AD18" s="89">
        <v>11970</v>
      </c>
      <c r="AE18" s="89">
        <v>15960</v>
      </c>
      <c r="AF18" s="89">
        <v>3192</v>
      </c>
      <c r="AG18" s="89">
        <v>750</v>
      </c>
      <c r="AH18" s="89">
        <v>8151.53</v>
      </c>
      <c r="AI18" s="89">
        <v>15960</v>
      </c>
      <c r="AJ18" s="89">
        <v>15960</v>
      </c>
      <c r="AK18" s="3">
        <f t="shared" si="1"/>
        <v>103863.53</v>
      </c>
      <c r="AL18" s="89"/>
      <c r="AM18" s="87"/>
      <c r="AN18" s="87"/>
      <c r="AO18" s="87"/>
      <c r="AP18" s="87"/>
      <c r="AQ18" s="87"/>
      <c r="AR18" s="87"/>
      <c r="AS18" s="87"/>
      <c r="AT18" s="87"/>
      <c r="AU18" s="3">
        <f t="shared" si="2"/>
        <v>0</v>
      </c>
      <c r="AV18" s="130">
        <v>0</v>
      </c>
      <c r="AW18" s="109"/>
      <c r="AX18" s="96">
        <v>0</v>
      </c>
      <c r="AY18" s="98">
        <v>2191</v>
      </c>
      <c r="AZ18" s="176"/>
      <c r="BA18" s="176"/>
      <c r="BB18" s="3">
        <f t="shared" si="5"/>
        <v>2191</v>
      </c>
      <c r="BC18" s="35"/>
      <c r="BD18" s="35"/>
      <c r="BE18" s="35"/>
      <c r="BF18" s="35"/>
      <c r="BG18" s="35"/>
      <c r="BH18" s="35"/>
      <c r="BI18" s="73"/>
      <c r="BJ18" s="35"/>
      <c r="BL18">
        <f>+D18*5%</f>
        <v>3800.0040000000004</v>
      </c>
      <c r="BM18" s="91">
        <f>+BL18+D18</f>
        <v>79800.084000000003</v>
      </c>
      <c r="BV18" t="s">
        <v>12</v>
      </c>
    </row>
    <row r="19" spans="1:75" ht="16.5" customHeight="1" x14ac:dyDescent="0.25">
      <c r="A19" s="71">
        <f t="shared" si="6"/>
        <v>16</v>
      </c>
      <c r="B19" s="67" t="s">
        <v>141</v>
      </c>
      <c r="C19" s="119">
        <v>24.038499999999999</v>
      </c>
      <c r="D19" s="65">
        <f t="shared" si="0"/>
        <v>50000.08</v>
      </c>
      <c r="E19" s="113">
        <f t="shared" si="3"/>
        <v>52500</v>
      </c>
      <c r="F19" s="184">
        <f t="shared" si="7"/>
        <v>2499.9199999999983</v>
      </c>
      <c r="G19" s="166"/>
      <c r="H19" s="166"/>
      <c r="I19" s="166"/>
      <c r="J19" s="166"/>
      <c r="K19" s="166"/>
      <c r="L19" s="166"/>
      <c r="M19" s="166"/>
      <c r="N19" s="96">
        <v>0</v>
      </c>
      <c r="O19" s="34">
        <f t="shared" si="4"/>
        <v>0</v>
      </c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>
        <v>0</v>
      </c>
      <c r="AA19" s="34">
        <f>SUM(P19:Z19)</f>
        <v>0</v>
      </c>
      <c r="AB19" s="87"/>
      <c r="AC19" s="87"/>
      <c r="AD19" s="87"/>
      <c r="AE19" s="88"/>
      <c r="AF19" s="87"/>
      <c r="AG19" s="87"/>
      <c r="AH19" s="88"/>
      <c r="AI19" s="88"/>
      <c r="AJ19" s="87"/>
      <c r="AK19" s="3">
        <f t="shared" si="1"/>
        <v>0</v>
      </c>
      <c r="AL19" s="89"/>
      <c r="AM19" s="87"/>
      <c r="AN19" s="87"/>
      <c r="AO19" s="87">
        <f>+'[2]P 2-Salary '!$J$27</f>
        <v>52500</v>
      </c>
      <c r="AP19" s="87"/>
      <c r="AQ19" s="87"/>
      <c r="AR19" s="87"/>
      <c r="AS19" s="87"/>
      <c r="AT19" s="87"/>
      <c r="AU19" s="3">
        <f t="shared" si="2"/>
        <v>52500</v>
      </c>
      <c r="AV19" s="109"/>
      <c r="AW19" s="109"/>
      <c r="AX19" s="96">
        <v>0</v>
      </c>
      <c r="AY19" s="98">
        <v>0</v>
      </c>
      <c r="AZ19" s="176"/>
      <c r="BA19" s="176"/>
      <c r="BB19" s="3">
        <f t="shared" si="5"/>
        <v>0</v>
      </c>
      <c r="BC19" s="35"/>
      <c r="BD19" s="35"/>
      <c r="BE19" s="35"/>
      <c r="BF19" s="35"/>
      <c r="BG19" s="35"/>
      <c r="BH19" s="35"/>
      <c r="BI19" s="73"/>
      <c r="BJ19" s="35"/>
      <c r="BL19">
        <f>+D19*5%</f>
        <v>2500.0040000000004</v>
      </c>
      <c r="BM19" s="91">
        <f>+BL19+D19</f>
        <v>52500.084000000003</v>
      </c>
      <c r="BV19" t="s">
        <v>12</v>
      </c>
      <c r="BW19" t="s">
        <v>12</v>
      </c>
    </row>
    <row r="20" spans="1:75" ht="16.5" customHeight="1" x14ac:dyDescent="0.25">
      <c r="A20" s="71">
        <f t="shared" si="6"/>
        <v>17</v>
      </c>
      <c r="B20" s="67" t="s">
        <v>149</v>
      </c>
      <c r="C20" s="119">
        <v>32.257100000000001</v>
      </c>
      <c r="D20" s="65">
        <f t="shared" si="0"/>
        <v>67094.767999999996</v>
      </c>
      <c r="E20" s="113">
        <f t="shared" si="3"/>
        <v>70449</v>
      </c>
      <c r="F20" s="184">
        <f t="shared" si="7"/>
        <v>3354.2320000000036</v>
      </c>
      <c r="G20" s="166"/>
      <c r="H20" s="166"/>
      <c r="I20" s="166"/>
      <c r="J20" s="166"/>
      <c r="K20" s="166"/>
      <c r="L20" s="166"/>
      <c r="M20" s="166"/>
      <c r="N20" s="96">
        <v>0</v>
      </c>
      <c r="O20" s="34">
        <f t="shared" si="4"/>
        <v>0</v>
      </c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>
        <v>0</v>
      </c>
      <c r="AA20" s="34">
        <f>SUM(P20:Z20)</f>
        <v>0</v>
      </c>
      <c r="AB20" s="87"/>
      <c r="AC20" s="87"/>
      <c r="AD20" s="87"/>
      <c r="AE20" s="88"/>
      <c r="AF20" s="87"/>
      <c r="AG20" s="87"/>
      <c r="AH20" s="88"/>
      <c r="AI20" s="88"/>
      <c r="AJ20" s="87"/>
      <c r="AK20" s="3">
        <f t="shared" si="1"/>
        <v>0</v>
      </c>
      <c r="AL20" s="89"/>
      <c r="AM20" s="87"/>
      <c r="AN20" s="87">
        <f>+'[7]P 2-Salary '!$J$17</f>
        <v>70449</v>
      </c>
      <c r="AO20" s="87"/>
      <c r="AP20" s="87"/>
      <c r="AQ20" s="87"/>
      <c r="AR20" s="87"/>
      <c r="AS20" s="87"/>
      <c r="AT20" s="87"/>
      <c r="AU20" s="3">
        <f t="shared" si="2"/>
        <v>70449</v>
      </c>
      <c r="AV20" s="109"/>
      <c r="AW20" s="109"/>
      <c r="AX20" s="96">
        <v>0</v>
      </c>
      <c r="AY20" s="98">
        <v>0</v>
      </c>
      <c r="AZ20" s="176"/>
      <c r="BA20" s="176"/>
      <c r="BB20" s="3">
        <f t="shared" si="5"/>
        <v>0</v>
      </c>
      <c r="BC20" s="35"/>
      <c r="BD20" s="35"/>
      <c r="BE20" s="35"/>
      <c r="BF20" s="35"/>
      <c r="BG20" s="35"/>
      <c r="BH20" s="35"/>
      <c r="BI20" s="73"/>
      <c r="BJ20" s="35"/>
      <c r="BL20">
        <f>+D20*5%</f>
        <v>3354.7384000000002</v>
      </c>
      <c r="BM20" s="91">
        <f>+BL20+D20</f>
        <v>70449.506399999998</v>
      </c>
    </row>
    <row r="21" spans="1:75" ht="16.5" customHeight="1" x14ac:dyDescent="0.25">
      <c r="A21" s="71">
        <f t="shared" si="6"/>
        <v>18</v>
      </c>
      <c r="B21" s="67" t="s">
        <v>142</v>
      </c>
      <c r="C21" s="119">
        <v>25.600999999999999</v>
      </c>
      <c r="D21" s="65">
        <f t="shared" si="0"/>
        <v>53250.080000000002</v>
      </c>
      <c r="E21" s="113">
        <f t="shared" si="3"/>
        <v>56527.42</v>
      </c>
      <c r="F21" s="184">
        <f t="shared" si="7"/>
        <v>3277.3399999999965</v>
      </c>
      <c r="G21" s="166"/>
      <c r="H21" s="166"/>
      <c r="I21" s="166"/>
      <c r="J21" s="166"/>
      <c r="K21" s="166"/>
      <c r="L21" s="166"/>
      <c r="M21" s="166"/>
      <c r="N21" s="96">
        <v>0</v>
      </c>
      <c r="O21" s="34">
        <f t="shared" si="4"/>
        <v>0</v>
      </c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>
        <v>0</v>
      </c>
      <c r="AA21" s="34">
        <f>SUM(P21:Z21)</f>
        <v>0</v>
      </c>
      <c r="AB21" s="87"/>
      <c r="AC21" s="87"/>
      <c r="AD21" s="87"/>
      <c r="AE21" s="89">
        <v>55913</v>
      </c>
      <c r="AF21" s="87"/>
      <c r="AG21" s="87"/>
      <c r="AH21" s="89">
        <v>614.41999999999996</v>
      </c>
      <c r="AI21" s="88"/>
      <c r="AJ21" s="87"/>
      <c r="AK21" s="3">
        <f t="shared" si="1"/>
        <v>56527.42</v>
      </c>
      <c r="AL21" s="89"/>
      <c r="AM21" s="87"/>
      <c r="AN21" s="87"/>
      <c r="AO21" s="87"/>
      <c r="AP21" s="87"/>
      <c r="AQ21" s="87"/>
      <c r="AR21" s="87"/>
      <c r="AS21" s="87"/>
      <c r="AT21" s="87"/>
      <c r="AU21" s="3">
        <f t="shared" si="2"/>
        <v>0</v>
      </c>
      <c r="AV21" s="109"/>
      <c r="AW21" s="109"/>
      <c r="AX21" s="96">
        <v>0</v>
      </c>
      <c r="AY21" s="98">
        <v>0</v>
      </c>
      <c r="AZ21" s="176"/>
      <c r="BA21" s="176"/>
      <c r="BB21" s="3">
        <f t="shared" si="5"/>
        <v>0</v>
      </c>
      <c r="BC21" s="35"/>
      <c r="BD21" s="35"/>
      <c r="BE21" s="35"/>
      <c r="BF21" s="35"/>
      <c r="BG21" s="35"/>
      <c r="BH21" s="35"/>
      <c r="BI21" s="73"/>
      <c r="BJ21" s="35"/>
      <c r="BL21">
        <f>+D21*5%</f>
        <v>2662.5040000000004</v>
      </c>
      <c r="BM21" s="91">
        <f>+BL21+D21</f>
        <v>55912.584000000003</v>
      </c>
    </row>
    <row r="22" spans="1:75" ht="16.5" customHeight="1" x14ac:dyDescent="0.25">
      <c r="A22" s="71">
        <f t="shared" si="6"/>
        <v>19</v>
      </c>
      <c r="B22" s="67" t="s">
        <v>162</v>
      </c>
      <c r="C22" s="119">
        <v>28.161000000000001</v>
      </c>
      <c r="D22" s="65">
        <f t="shared" si="0"/>
        <v>58574.880000000005</v>
      </c>
      <c r="E22" s="113">
        <f t="shared" si="3"/>
        <v>62937.39</v>
      </c>
      <c r="F22" s="184">
        <f t="shared" si="7"/>
        <v>4362.5099999999948</v>
      </c>
      <c r="G22" s="166"/>
      <c r="H22" s="166"/>
      <c r="I22" s="166"/>
      <c r="J22" s="166"/>
      <c r="K22" s="166"/>
      <c r="L22" s="166"/>
      <c r="M22" s="166"/>
      <c r="N22" s="96">
        <v>0</v>
      </c>
      <c r="O22" s="34">
        <f t="shared" si="4"/>
        <v>0</v>
      </c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>
        <v>0</v>
      </c>
      <c r="AA22" s="34">
        <f>SUM(P22:Z22)</f>
        <v>0</v>
      </c>
      <c r="AB22" s="87"/>
      <c r="AC22" s="87"/>
      <c r="AD22" s="87"/>
      <c r="AE22" s="88"/>
      <c r="AF22" s="87"/>
      <c r="AG22" s="87"/>
      <c r="AH22" s="89">
        <v>9687.39</v>
      </c>
      <c r="AI22" s="89">
        <v>53250</v>
      </c>
      <c r="AJ22" s="87"/>
      <c r="AK22" s="3">
        <f t="shared" si="1"/>
        <v>62937.39</v>
      </c>
      <c r="AL22" s="89"/>
      <c r="AM22" s="87"/>
      <c r="AN22" s="87"/>
      <c r="AO22" s="87"/>
      <c r="AP22" s="87"/>
      <c r="AQ22" s="87"/>
      <c r="AR22" s="87"/>
      <c r="AS22" s="87"/>
      <c r="AT22" s="87"/>
      <c r="AU22" s="3">
        <f t="shared" si="2"/>
        <v>0</v>
      </c>
      <c r="AV22" s="109"/>
      <c r="AW22" s="109"/>
      <c r="AX22" s="96">
        <v>0</v>
      </c>
      <c r="AY22" s="98">
        <v>0</v>
      </c>
      <c r="AZ22" s="176"/>
      <c r="BA22" s="176"/>
      <c r="BB22" s="3">
        <f t="shared" si="5"/>
        <v>0</v>
      </c>
      <c r="BC22" s="35"/>
      <c r="BD22" s="35"/>
      <c r="BE22" s="35"/>
      <c r="BF22" s="35"/>
      <c r="BG22" s="35"/>
      <c r="BH22" s="35"/>
      <c r="BI22" s="73"/>
      <c r="BJ22" s="35"/>
      <c r="BL22">
        <f>+D22*5%</f>
        <v>2928.7440000000006</v>
      </c>
      <c r="BM22" s="91">
        <f>+BL22+D22</f>
        <v>61503.624000000003</v>
      </c>
    </row>
    <row r="23" spans="1:75" ht="17.25" customHeight="1" x14ac:dyDescent="0.25">
      <c r="A23" s="71">
        <f t="shared" si="6"/>
        <v>20</v>
      </c>
      <c r="B23" s="11" t="s">
        <v>20</v>
      </c>
      <c r="C23" s="24">
        <v>33.6539</v>
      </c>
      <c r="D23" s="65">
        <f t="shared" si="0"/>
        <v>70000.111999999994</v>
      </c>
      <c r="E23" s="113">
        <f t="shared" si="3"/>
        <v>109704.2436</v>
      </c>
      <c r="F23" s="184">
        <f t="shared" si="7"/>
        <v>39704.131600000008</v>
      </c>
      <c r="G23" s="166">
        <v>2940</v>
      </c>
      <c r="H23" s="166">
        <v>1470</v>
      </c>
      <c r="I23" s="166"/>
      <c r="J23" s="166">
        <v>4410</v>
      </c>
      <c r="K23" s="166">
        <v>2205</v>
      </c>
      <c r="L23" s="166">
        <v>3675</v>
      </c>
      <c r="M23" s="166"/>
      <c r="N23" s="96">
        <f>+'[3]PC Admin &amp; Client (Regular)'!$E$18</f>
        <v>2205.0036</v>
      </c>
      <c r="O23" s="34">
        <f t="shared" si="4"/>
        <v>16905.0036</v>
      </c>
      <c r="P23" s="98">
        <v>2940</v>
      </c>
      <c r="Q23" s="98">
        <v>1470</v>
      </c>
      <c r="R23" s="98"/>
      <c r="S23" s="98"/>
      <c r="T23" s="98">
        <v>2205</v>
      </c>
      <c r="U23" s="98">
        <v>1470</v>
      </c>
      <c r="V23" s="98"/>
      <c r="W23" s="98">
        <v>1470</v>
      </c>
      <c r="X23" s="98">
        <v>2205</v>
      </c>
      <c r="Y23" s="98">
        <v>2205</v>
      </c>
      <c r="Z23" s="98">
        <v>0</v>
      </c>
      <c r="AA23" s="34">
        <f>SUM(P23:Z23)</f>
        <v>13965</v>
      </c>
      <c r="AB23" s="89">
        <v>3675</v>
      </c>
      <c r="AC23" s="87"/>
      <c r="AD23" s="89">
        <v>7350</v>
      </c>
      <c r="AE23" s="89">
        <v>7350</v>
      </c>
      <c r="AF23" s="89">
        <v>1470</v>
      </c>
      <c r="AG23" s="89"/>
      <c r="AH23" s="89">
        <v>4711.54</v>
      </c>
      <c r="AI23" s="89">
        <v>3500</v>
      </c>
      <c r="AJ23" s="89">
        <v>7350</v>
      </c>
      <c r="AK23" s="3">
        <f t="shared" si="1"/>
        <v>35406.54</v>
      </c>
      <c r="AL23" s="88">
        <f>+'[8]P 2-Salary '!$J$19</f>
        <v>1470</v>
      </c>
      <c r="AM23" s="87">
        <f>+'[9]P 2-Salary '!$J$18</f>
        <v>2205</v>
      </c>
      <c r="AN23" s="87">
        <f>+'[7]P 2-Salary '!$J$16</f>
        <v>3675</v>
      </c>
      <c r="AO23" s="87">
        <f>+'[2]P 2-Salary '!$J$16</f>
        <v>7350</v>
      </c>
      <c r="AP23" s="87">
        <f>+'[10]P 2-Salary '!$J$16</f>
        <v>2940</v>
      </c>
      <c r="AQ23" s="87">
        <f>+'[11]P 2-Salary '!$J$16</f>
        <v>2940</v>
      </c>
      <c r="AR23" s="87">
        <f>+'[4]P 2-Salary '!$J$23</f>
        <v>3675</v>
      </c>
      <c r="AS23" s="87">
        <f>+'[5]P 2-Salary '!$J$21</f>
        <v>2940</v>
      </c>
      <c r="AT23" s="87">
        <f>+'[6]P 2-Salary '!$J$22</f>
        <v>5880</v>
      </c>
      <c r="AU23" s="3">
        <f t="shared" si="2"/>
        <v>33075</v>
      </c>
      <c r="AV23" s="109"/>
      <c r="AW23" s="130">
        <f>4900-1600</f>
        <v>3300</v>
      </c>
      <c r="AX23" s="96">
        <v>1800</v>
      </c>
      <c r="AY23" s="98">
        <v>1470</v>
      </c>
      <c r="AZ23" s="176">
        <v>1682.7</v>
      </c>
      <c r="BA23" s="176">
        <v>0</v>
      </c>
      <c r="BB23" s="3">
        <f t="shared" si="5"/>
        <v>4952.7</v>
      </c>
      <c r="BC23" s="35"/>
      <c r="BD23" s="35"/>
      <c r="BE23" s="35"/>
      <c r="BF23" s="35"/>
      <c r="BG23" s="35"/>
      <c r="BH23" s="35"/>
      <c r="BI23" s="73">
        <v>2100</v>
      </c>
      <c r="BJ23" s="35"/>
      <c r="BL23">
        <f>+D23*5%</f>
        <v>3500.0056</v>
      </c>
      <c r="BM23" s="91">
        <f>+BL23+D23</f>
        <v>73500.117599999998</v>
      </c>
    </row>
    <row r="24" spans="1:75" ht="13.5" customHeight="1" x14ac:dyDescent="0.25">
      <c r="A24" s="71">
        <f t="shared" si="6"/>
        <v>21</v>
      </c>
      <c r="B24" s="67" t="s">
        <v>28</v>
      </c>
      <c r="C24" s="24">
        <v>40.958300000000001</v>
      </c>
      <c r="D24" s="65">
        <f t="shared" si="0"/>
        <v>85193.263999999996</v>
      </c>
      <c r="E24" s="113">
        <f t="shared" si="3"/>
        <v>99961.19</v>
      </c>
      <c r="F24" s="184">
        <f t="shared" si="7"/>
        <v>14767.926000000007</v>
      </c>
      <c r="G24" s="166"/>
      <c r="H24" s="166"/>
      <c r="I24" s="166"/>
      <c r="J24" s="166"/>
      <c r="K24" s="166"/>
      <c r="L24" s="166"/>
      <c r="M24" s="166"/>
      <c r="N24" s="96">
        <v>0</v>
      </c>
      <c r="O24" s="34">
        <f t="shared" si="4"/>
        <v>0</v>
      </c>
      <c r="P24" s="98"/>
      <c r="Q24" s="98">
        <v>8050.68</v>
      </c>
      <c r="R24" s="98"/>
      <c r="S24" s="98"/>
      <c r="T24" s="98"/>
      <c r="U24" s="98"/>
      <c r="V24" s="98"/>
      <c r="W24" s="98"/>
      <c r="X24" s="98"/>
      <c r="Y24" s="98"/>
      <c r="Z24" s="98">
        <v>0</v>
      </c>
      <c r="AA24" s="34">
        <f>SUM(P24:Z24)</f>
        <v>8050.68</v>
      </c>
      <c r="AB24" s="87"/>
      <c r="AC24" s="87"/>
      <c r="AD24" s="87">
        <v>0</v>
      </c>
      <c r="AE24" s="88">
        <v>0</v>
      </c>
      <c r="AF24" s="87"/>
      <c r="AG24" s="87"/>
      <c r="AH24" s="89">
        <v>2457.5100000000002</v>
      </c>
      <c r="AI24" s="88"/>
      <c r="AJ24" s="87"/>
      <c r="AK24" s="3">
        <f t="shared" si="1"/>
        <v>2457.5100000000002</v>
      </c>
      <c r="AL24" s="88"/>
      <c r="AM24" s="87"/>
      <c r="AN24" s="87"/>
      <c r="AO24" s="87">
        <f>+'[2]P 2-Salary '!$J$28</f>
        <v>89453</v>
      </c>
      <c r="AP24" s="87"/>
      <c r="AQ24" s="87"/>
      <c r="AR24" s="87"/>
      <c r="AS24" s="87"/>
      <c r="AT24" s="87"/>
      <c r="AU24" s="3">
        <f t="shared" si="2"/>
        <v>89453</v>
      </c>
      <c r="AV24" s="109"/>
      <c r="AW24" s="109"/>
      <c r="AX24" s="96">
        <v>0</v>
      </c>
      <c r="AY24" s="98">
        <v>0</v>
      </c>
      <c r="AZ24" s="176"/>
      <c r="BA24" s="176"/>
      <c r="BB24" s="3">
        <f t="shared" si="5"/>
        <v>0</v>
      </c>
      <c r="BC24" s="35"/>
      <c r="BD24" s="35"/>
      <c r="BE24" s="35"/>
      <c r="BF24" s="35"/>
      <c r="BG24" s="35"/>
      <c r="BH24" s="35"/>
      <c r="BI24" s="73"/>
      <c r="BJ24" s="35"/>
      <c r="BL24">
        <f>+D24*5%</f>
        <v>4259.6632</v>
      </c>
      <c r="BM24" s="91">
        <f>+BL24+D24</f>
        <v>89452.927199999991</v>
      </c>
    </row>
    <row r="25" spans="1:75" ht="13.5" customHeight="1" x14ac:dyDescent="0.25">
      <c r="A25" s="71">
        <f t="shared" si="6"/>
        <v>22</v>
      </c>
      <c r="B25" s="67" t="s">
        <v>140</v>
      </c>
      <c r="C25" s="119">
        <v>20</v>
      </c>
      <c r="D25" s="65">
        <f>+C25*2040</f>
        <v>40800</v>
      </c>
      <c r="E25" s="113">
        <f t="shared" si="3"/>
        <v>28111</v>
      </c>
      <c r="F25" s="179">
        <f t="shared" si="7"/>
        <v>-12689</v>
      </c>
      <c r="G25" s="166"/>
      <c r="H25" s="166"/>
      <c r="I25" s="166"/>
      <c r="J25" s="166"/>
      <c r="K25" s="166"/>
      <c r="L25" s="166"/>
      <c r="M25" s="166"/>
      <c r="N25" s="96">
        <v>0</v>
      </c>
      <c r="O25" s="34">
        <f t="shared" si="4"/>
        <v>0</v>
      </c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>
        <v>11466</v>
      </c>
      <c r="AA25" s="34">
        <f>SUM(P25:Z25)</f>
        <v>11466</v>
      </c>
      <c r="AB25" s="87"/>
      <c r="AC25" s="87"/>
      <c r="AD25" s="87"/>
      <c r="AE25" s="88"/>
      <c r="AF25" s="87"/>
      <c r="AG25" s="87"/>
      <c r="AH25" s="89">
        <v>6020</v>
      </c>
      <c r="AI25" s="89">
        <v>10625</v>
      </c>
      <c r="AJ25" s="87"/>
      <c r="AK25" s="3">
        <f t="shared" si="1"/>
        <v>16645</v>
      </c>
      <c r="AL25" s="88"/>
      <c r="AM25" s="87"/>
      <c r="AN25" s="87"/>
      <c r="AO25" s="87"/>
      <c r="AP25" s="87"/>
      <c r="AQ25" s="87"/>
      <c r="AR25" s="87"/>
      <c r="AS25" s="87"/>
      <c r="AT25" s="87"/>
      <c r="AU25" s="3">
        <f t="shared" si="2"/>
        <v>0</v>
      </c>
      <c r="AV25" s="109"/>
      <c r="AW25" s="109"/>
      <c r="AX25" s="96">
        <v>0</v>
      </c>
      <c r="AY25" s="98">
        <v>0</v>
      </c>
      <c r="AZ25" s="176"/>
      <c r="BA25" s="176"/>
      <c r="BB25" s="3">
        <f t="shared" si="5"/>
        <v>0</v>
      </c>
      <c r="BC25" s="35">
        <v>0</v>
      </c>
      <c r="BD25" s="35"/>
      <c r="BE25" s="35"/>
      <c r="BF25" s="35"/>
      <c r="BG25" s="35"/>
      <c r="BH25" s="35"/>
      <c r="BI25" s="73"/>
      <c r="BJ25" s="35"/>
      <c r="BL25">
        <f>+D25*5%</f>
        <v>2040</v>
      </c>
      <c r="BM25" s="91">
        <f>+BL25+D25</f>
        <v>42840</v>
      </c>
    </row>
    <row r="26" spans="1:75" x14ac:dyDescent="0.25">
      <c r="A26" s="71">
        <f t="shared" si="6"/>
        <v>23</v>
      </c>
      <c r="B26" s="67" t="s">
        <v>147</v>
      </c>
      <c r="C26" s="119">
        <v>30.180900000000001</v>
      </c>
      <c r="D26" s="135">
        <f t="shared" si="0"/>
        <v>62776.272000000004</v>
      </c>
      <c r="E26" s="113">
        <f t="shared" si="3"/>
        <v>65915</v>
      </c>
      <c r="F26" s="184">
        <f t="shared" si="7"/>
        <v>3138.7279999999955</v>
      </c>
      <c r="G26" s="166"/>
      <c r="H26" s="166"/>
      <c r="I26" s="166"/>
      <c r="J26" s="166"/>
      <c r="K26" s="166"/>
      <c r="L26" s="166"/>
      <c r="M26" s="166"/>
      <c r="N26" s="96">
        <v>0</v>
      </c>
      <c r="O26" s="34">
        <f t="shared" si="4"/>
        <v>0</v>
      </c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>
        <v>0</v>
      </c>
      <c r="AA26" s="34">
        <f>SUM(P26:Z26)</f>
        <v>0</v>
      </c>
      <c r="AB26" s="87"/>
      <c r="AC26" s="87"/>
      <c r="AD26" s="87"/>
      <c r="AE26" s="88"/>
      <c r="AF26" s="87"/>
      <c r="AG26" s="87"/>
      <c r="AH26" s="88"/>
      <c r="AI26" s="88"/>
      <c r="AJ26" s="87"/>
      <c r="AK26" s="3">
        <f t="shared" si="1"/>
        <v>0</v>
      </c>
      <c r="AL26" s="88"/>
      <c r="AM26" s="87"/>
      <c r="AN26" s="87"/>
      <c r="AO26" s="87"/>
      <c r="AP26" s="87">
        <f>+'[10]P 2-Salary '!$J$20</f>
        <v>52732</v>
      </c>
      <c r="AQ26" s="87">
        <f>+'[11]P 2-Salary '!$J$22</f>
        <v>13183</v>
      </c>
      <c r="AR26" s="87"/>
      <c r="AS26" s="87"/>
      <c r="AT26" s="87"/>
      <c r="AU26" s="3">
        <f t="shared" si="2"/>
        <v>65915</v>
      </c>
      <c r="AV26" s="109"/>
      <c r="AW26" s="109"/>
      <c r="AX26" s="96">
        <v>0</v>
      </c>
      <c r="AY26" s="98">
        <v>0</v>
      </c>
      <c r="AZ26" s="176"/>
      <c r="BA26" s="176"/>
      <c r="BB26" s="3">
        <f t="shared" si="5"/>
        <v>0</v>
      </c>
      <c r="BC26" s="35"/>
      <c r="BD26" s="35"/>
      <c r="BE26" s="35"/>
      <c r="BF26" s="35"/>
      <c r="BG26" s="35"/>
      <c r="BH26" s="35"/>
      <c r="BI26" s="73"/>
      <c r="BJ26" s="35"/>
      <c r="BL26">
        <f>+D26*5%</f>
        <v>3138.8136000000004</v>
      </c>
      <c r="BM26" s="91">
        <f>+BL26+D26</f>
        <v>65915.085600000006</v>
      </c>
    </row>
    <row r="27" spans="1:75" x14ac:dyDescent="0.25">
      <c r="A27" s="71">
        <f t="shared" si="6"/>
        <v>24</v>
      </c>
      <c r="B27" s="67" t="s">
        <v>163</v>
      </c>
      <c r="C27" s="119">
        <v>28.417100000000001</v>
      </c>
      <c r="D27" s="65">
        <f t="shared" si="0"/>
        <v>59107.567999999999</v>
      </c>
      <c r="E27" s="113">
        <f t="shared" si="3"/>
        <v>68498.850000000006</v>
      </c>
      <c r="F27" s="184">
        <f t="shared" si="7"/>
        <v>9391.2820000000065</v>
      </c>
      <c r="G27" s="166"/>
      <c r="H27" s="166"/>
      <c r="I27" s="166"/>
      <c r="J27" s="166"/>
      <c r="K27" s="166"/>
      <c r="L27" s="166"/>
      <c r="M27" s="166"/>
      <c r="N27" s="96">
        <v>0</v>
      </c>
      <c r="O27" s="34">
        <f t="shared" si="4"/>
        <v>0</v>
      </c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>
        <v>0</v>
      </c>
      <c r="AA27" s="34">
        <f>SUM(P27:Z27)</f>
        <v>0</v>
      </c>
      <c r="AB27" s="87"/>
      <c r="AC27" s="87"/>
      <c r="AD27" s="87"/>
      <c r="AE27" s="88"/>
      <c r="AF27" s="87"/>
      <c r="AG27" s="87"/>
      <c r="AH27" s="88"/>
      <c r="AI27" s="88"/>
      <c r="AJ27" s="87"/>
      <c r="AK27" s="3">
        <f t="shared" si="1"/>
        <v>0</v>
      </c>
      <c r="AL27" s="88"/>
      <c r="AM27" s="87"/>
      <c r="AN27" s="87"/>
      <c r="AO27" s="87">
        <v>0</v>
      </c>
      <c r="AP27" s="87"/>
      <c r="AQ27" s="87"/>
      <c r="AR27" s="87"/>
      <c r="AS27" s="87"/>
      <c r="AT27" s="87"/>
      <c r="AU27" s="3">
        <f t="shared" si="2"/>
        <v>0</v>
      </c>
      <c r="AV27" s="109"/>
      <c r="AW27" s="109">
        <v>0</v>
      </c>
      <c r="AX27" s="96">
        <v>0</v>
      </c>
      <c r="AY27" s="98">
        <v>0</v>
      </c>
      <c r="AZ27" s="176"/>
      <c r="BA27" s="176"/>
      <c r="BB27" s="3">
        <f t="shared" si="5"/>
        <v>0</v>
      </c>
      <c r="BC27" s="35"/>
      <c r="BD27" s="35"/>
      <c r="BE27" s="35"/>
      <c r="BF27" s="35"/>
      <c r="BG27" s="73">
        <v>23834.2</v>
      </c>
      <c r="BH27" s="35"/>
      <c r="BI27" s="73">
        <v>44664.65</v>
      </c>
      <c r="BJ27" s="35"/>
      <c r="BL27">
        <f>+D27*5%</f>
        <v>2955.3784000000001</v>
      </c>
      <c r="BM27" s="91">
        <f>+BL27+D27</f>
        <v>62062.946400000001</v>
      </c>
      <c r="BU27" t="s">
        <v>12</v>
      </c>
    </row>
    <row r="28" spans="1:75" x14ac:dyDescent="0.25">
      <c r="A28" s="71">
        <f t="shared" si="6"/>
        <v>25</v>
      </c>
      <c r="B28" s="67" t="s">
        <v>165</v>
      </c>
      <c r="C28" s="119">
        <v>24</v>
      </c>
      <c r="D28" s="65">
        <f>+C28*56*26</f>
        <v>34944</v>
      </c>
      <c r="E28" s="113">
        <f t="shared" si="3"/>
        <v>18431.78</v>
      </c>
      <c r="F28" s="179">
        <f t="shared" si="7"/>
        <v>-16512.22</v>
      </c>
      <c r="G28" s="166"/>
      <c r="H28" s="166"/>
      <c r="I28" s="166"/>
      <c r="J28" s="166"/>
      <c r="K28" s="166"/>
      <c r="L28" s="166"/>
      <c r="M28" s="166"/>
      <c r="N28" s="96">
        <v>0</v>
      </c>
      <c r="O28" s="34">
        <f t="shared" si="4"/>
        <v>0</v>
      </c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>
        <v>0</v>
      </c>
      <c r="AA28" s="34">
        <f>SUM(P28:Z28)</f>
        <v>0</v>
      </c>
      <c r="AB28" s="87"/>
      <c r="AC28" s="87"/>
      <c r="AD28" s="87"/>
      <c r="AE28" s="88"/>
      <c r="AF28" s="87"/>
      <c r="AG28" s="87"/>
      <c r="AH28" s="88"/>
      <c r="AI28" s="88"/>
      <c r="AJ28" s="87"/>
      <c r="AK28" s="3">
        <f t="shared" si="1"/>
        <v>0</v>
      </c>
      <c r="AL28" s="88"/>
      <c r="AM28" s="87"/>
      <c r="AN28" s="87"/>
      <c r="AO28" s="87"/>
      <c r="AP28" s="87"/>
      <c r="AQ28" s="87"/>
      <c r="AR28" s="87"/>
      <c r="AS28" s="87"/>
      <c r="AT28" s="87"/>
      <c r="AU28" s="3">
        <f t="shared" si="2"/>
        <v>0</v>
      </c>
      <c r="AV28" s="109"/>
      <c r="AW28" s="109"/>
      <c r="AX28" s="96">
        <v>0</v>
      </c>
      <c r="AY28" s="98">
        <v>0</v>
      </c>
      <c r="AZ28" s="176"/>
      <c r="BA28" s="176"/>
      <c r="BB28" s="3">
        <f t="shared" si="5"/>
        <v>0</v>
      </c>
      <c r="BC28" s="73">
        <v>18431.78</v>
      </c>
      <c r="BD28" s="35"/>
      <c r="BE28" s="35"/>
      <c r="BF28" s="35"/>
      <c r="BG28" s="35"/>
      <c r="BH28" s="35"/>
      <c r="BI28" s="73"/>
      <c r="BJ28" s="35"/>
      <c r="BL28">
        <f>+D28*5%</f>
        <v>1747.2</v>
      </c>
      <c r="BM28" s="91">
        <f>+BL28+D28</f>
        <v>36691.199999999997</v>
      </c>
      <c r="BN28" t="s">
        <v>12</v>
      </c>
      <c r="BP28" t="s">
        <v>12</v>
      </c>
      <c r="BQ28" t="s">
        <v>12</v>
      </c>
      <c r="BR28" t="s">
        <v>12</v>
      </c>
      <c r="BU28" t="s">
        <v>12</v>
      </c>
    </row>
    <row r="29" spans="1:75" x14ac:dyDescent="0.25">
      <c r="A29" s="71">
        <f t="shared" si="6"/>
        <v>26</v>
      </c>
      <c r="B29" s="121" t="s">
        <v>151</v>
      </c>
      <c r="C29" s="119">
        <v>27.777100000000001</v>
      </c>
      <c r="D29" s="65">
        <f t="shared" ref="D29:D45" si="8">+C29*2080</f>
        <v>57776.368000000002</v>
      </c>
      <c r="E29" s="113">
        <f t="shared" si="3"/>
        <v>60665</v>
      </c>
      <c r="F29" s="184">
        <f t="shared" si="7"/>
        <v>2888.6319999999978</v>
      </c>
      <c r="G29" s="166"/>
      <c r="H29" s="166"/>
      <c r="I29" s="166"/>
      <c r="J29" s="166"/>
      <c r="K29" s="166"/>
      <c r="L29" s="166"/>
      <c r="M29" s="166"/>
      <c r="N29" s="96">
        <v>0</v>
      </c>
      <c r="O29" s="34">
        <f t="shared" si="4"/>
        <v>0</v>
      </c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>
        <v>0</v>
      </c>
      <c r="AA29" s="34">
        <f>SUM(P29:Z29)</f>
        <v>0</v>
      </c>
      <c r="AB29" s="87"/>
      <c r="AC29" s="87"/>
      <c r="AD29" s="87"/>
      <c r="AE29" s="88"/>
      <c r="AF29" s="87"/>
      <c r="AG29" s="87"/>
      <c r="AH29" s="88"/>
      <c r="AI29" s="88">
        <v>0</v>
      </c>
      <c r="AJ29" s="87"/>
      <c r="AK29" s="3">
        <f t="shared" si="1"/>
        <v>0</v>
      </c>
      <c r="AL29" s="88"/>
      <c r="AM29" s="87"/>
      <c r="AN29" s="87">
        <f>+'[7]P 2-Salary '!$J$18</f>
        <v>60665</v>
      </c>
      <c r="AO29" s="87"/>
      <c r="AP29" s="87"/>
      <c r="AQ29" s="87"/>
      <c r="AR29" s="87"/>
      <c r="AS29" s="87"/>
      <c r="AT29" s="87"/>
      <c r="AU29" s="3">
        <f t="shared" si="2"/>
        <v>60665</v>
      </c>
      <c r="AV29" s="109"/>
      <c r="AW29" s="109"/>
      <c r="AX29" s="96">
        <v>0</v>
      </c>
      <c r="AY29" s="98">
        <v>0</v>
      </c>
      <c r="AZ29" s="176"/>
      <c r="BA29" s="176"/>
      <c r="BB29" s="3">
        <f t="shared" si="5"/>
        <v>0</v>
      </c>
      <c r="BC29" s="35"/>
      <c r="BD29" s="35"/>
      <c r="BE29" s="35"/>
      <c r="BF29" s="35"/>
      <c r="BG29" s="35"/>
      <c r="BH29" s="35"/>
      <c r="BI29" s="73"/>
      <c r="BJ29" s="35"/>
      <c r="BL29">
        <f>+D29*5%</f>
        <v>2888.8184000000001</v>
      </c>
      <c r="BM29" s="91">
        <f>+BL29+D29</f>
        <v>60665.186400000006</v>
      </c>
      <c r="BN29" t="s">
        <v>12</v>
      </c>
      <c r="BU29" t="s">
        <v>12</v>
      </c>
    </row>
    <row r="30" spans="1:75" x14ac:dyDescent="0.25">
      <c r="A30" s="71">
        <f t="shared" si="6"/>
        <v>27</v>
      </c>
      <c r="B30" s="67" t="s">
        <v>63</v>
      </c>
      <c r="C30" s="119">
        <v>24.038499999999999</v>
      </c>
      <c r="D30" s="65">
        <f t="shared" si="8"/>
        <v>50000.08</v>
      </c>
      <c r="E30" s="113">
        <f t="shared" si="3"/>
        <v>59286.89</v>
      </c>
      <c r="F30" s="184">
        <f t="shared" si="7"/>
        <v>9286.8099999999977</v>
      </c>
      <c r="G30" s="166"/>
      <c r="H30" s="166"/>
      <c r="I30" s="166"/>
      <c r="J30" s="166"/>
      <c r="K30" s="166"/>
      <c r="L30" s="166"/>
      <c r="M30" s="166"/>
      <c r="N30" s="96">
        <v>0</v>
      </c>
      <c r="O30" s="34">
        <f t="shared" si="4"/>
        <v>0</v>
      </c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>
        <v>0</v>
      </c>
      <c r="AA30" s="34">
        <f>SUM(P30:Z30)</f>
        <v>0</v>
      </c>
      <c r="AB30" s="87"/>
      <c r="AC30" s="87"/>
      <c r="AD30" s="87"/>
      <c r="AE30" s="88"/>
      <c r="AF30" s="87"/>
      <c r="AG30" s="87"/>
      <c r="AH30" s="88"/>
      <c r="AI30" s="88"/>
      <c r="AJ30" s="87"/>
      <c r="AK30" s="3">
        <f t="shared" si="1"/>
        <v>0</v>
      </c>
      <c r="AL30" s="88"/>
      <c r="AM30" s="87"/>
      <c r="AN30" s="87"/>
      <c r="AO30" s="87"/>
      <c r="AP30" s="87"/>
      <c r="AQ30" s="87"/>
      <c r="AR30" s="87"/>
      <c r="AS30" s="87">
        <f>+'[5]P 2-Salary '!$J$24</f>
        <v>26250</v>
      </c>
      <c r="AT30" s="87"/>
      <c r="AU30" s="3">
        <f t="shared" si="2"/>
        <v>26250</v>
      </c>
      <c r="AV30" s="109"/>
      <c r="AW30" s="130">
        <v>30036.89</v>
      </c>
      <c r="AX30" s="96">
        <v>0</v>
      </c>
      <c r="AY30" s="98">
        <v>0</v>
      </c>
      <c r="AZ30" s="177">
        <v>3000</v>
      </c>
      <c r="BA30" s="176">
        <v>0</v>
      </c>
      <c r="BB30" s="3">
        <f t="shared" si="5"/>
        <v>3000</v>
      </c>
      <c r="BC30" s="35"/>
      <c r="BD30" s="35"/>
      <c r="BE30" s="35"/>
      <c r="BF30" s="35"/>
      <c r="BG30" s="35"/>
      <c r="BH30" s="35"/>
      <c r="BI30" s="73"/>
      <c r="BJ30" s="35"/>
      <c r="BL30">
        <f>+D30*5%</f>
        <v>2500.0040000000004</v>
      </c>
      <c r="BM30" s="91">
        <f>+BL30+D30</f>
        <v>52500.084000000003</v>
      </c>
      <c r="BN30" t="s">
        <v>12</v>
      </c>
      <c r="BU30" t="s">
        <v>12</v>
      </c>
    </row>
    <row r="31" spans="1:75" x14ac:dyDescent="0.25">
      <c r="A31" s="71">
        <f t="shared" si="6"/>
        <v>28</v>
      </c>
      <c r="B31" s="136" t="s">
        <v>193</v>
      </c>
      <c r="C31" s="119">
        <v>24.038499999999999</v>
      </c>
      <c r="D31" s="65">
        <f t="shared" si="8"/>
        <v>50000.08</v>
      </c>
      <c r="E31" s="113">
        <f t="shared" si="3"/>
        <v>49203</v>
      </c>
      <c r="F31" s="184">
        <f t="shared" si="7"/>
        <v>-797.08000000000175</v>
      </c>
      <c r="G31" s="166"/>
      <c r="H31" s="166"/>
      <c r="I31" s="166"/>
      <c r="J31" s="166"/>
      <c r="K31" s="166"/>
      <c r="L31" s="166"/>
      <c r="M31" s="166"/>
      <c r="N31" s="96">
        <v>0</v>
      </c>
      <c r="O31" s="34">
        <f t="shared" si="4"/>
        <v>0</v>
      </c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>
        <v>0</v>
      </c>
      <c r="AA31" s="34">
        <f>SUM(P31:Z31)</f>
        <v>0</v>
      </c>
      <c r="AB31" s="89">
        <v>0</v>
      </c>
      <c r="AC31" s="87"/>
      <c r="AD31" s="87"/>
      <c r="AE31" s="112">
        <v>49203</v>
      </c>
      <c r="AF31" s="87"/>
      <c r="AG31" s="87"/>
      <c r="AH31" s="88"/>
      <c r="AI31" s="88"/>
      <c r="AJ31" s="87"/>
      <c r="AK31" s="3">
        <f t="shared" si="1"/>
        <v>49203</v>
      </c>
      <c r="AL31" s="88"/>
      <c r="AM31" s="87"/>
      <c r="AN31" s="87"/>
      <c r="AO31" s="87"/>
      <c r="AP31" s="87"/>
      <c r="AQ31" s="87"/>
      <c r="AR31" s="87"/>
      <c r="AS31" s="87"/>
      <c r="AT31" s="87"/>
      <c r="AU31" s="3">
        <f t="shared" si="2"/>
        <v>0</v>
      </c>
      <c r="AV31" s="109"/>
      <c r="AW31" s="109"/>
      <c r="AX31" s="96">
        <v>0</v>
      </c>
      <c r="AY31" s="98">
        <v>0</v>
      </c>
      <c r="AZ31" s="176"/>
      <c r="BA31" s="176"/>
      <c r="BB31" s="3">
        <f t="shared" si="5"/>
        <v>0</v>
      </c>
      <c r="BC31" s="35"/>
      <c r="BD31" s="35"/>
      <c r="BE31" s="35"/>
      <c r="BF31" s="35"/>
      <c r="BG31" s="35"/>
      <c r="BH31" s="35"/>
      <c r="BI31" s="73"/>
      <c r="BJ31" s="35"/>
      <c r="BL31">
        <f>+D31*5%</f>
        <v>2500.0040000000004</v>
      </c>
      <c r="BM31" s="91">
        <f>+BL31+D31</f>
        <v>52500.084000000003</v>
      </c>
      <c r="BU31" t="s">
        <v>12</v>
      </c>
    </row>
    <row r="32" spans="1:75" x14ac:dyDescent="0.25">
      <c r="A32" s="71">
        <f t="shared" si="6"/>
        <v>29</v>
      </c>
      <c r="B32" s="95" t="s">
        <v>194</v>
      </c>
      <c r="C32" s="119">
        <v>25.600999999999999</v>
      </c>
      <c r="D32" s="65">
        <f t="shared" si="8"/>
        <v>53250.080000000002</v>
      </c>
      <c r="E32" s="113">
        <f t="shared" si="3"/>
        <v>54000</v>
      </c>
      <c r="F32" s="184">
        <f t="shared" si="7"/>
        <v>749.91999999999825</v>
      </c>
      <c r="G32" s="166"/>
      <c r="H32" s="166"/>
      <c r="I32" s="166"/>
      <c r="J32" s="166"/>
      <c r="K32" s="166"/>
      <c r="L32" s="166"/>
      <c r="M32" s="166"/>
      <c r="N32" s="96">
        <v>0</v>
      </c>
      <c r="O32" s="34">
        <f t="shared" si="4"/>
        <v>0</v>
      </c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>
        <v>0</v>
      </c>
      <c r="AA32" s="34">
        <f>SUM(P32:Z32)</f>
        <v>0</v>
      </c>
      <c r="AB32" s="87">
        <v>0</v>
      </c>
      <c r="AC32" s="87">
        <v>0</v>
      </c>
      <c r="AD32" s="87">
        <v>0</v>
      </c>
      <c r="AE32" s="88">
        <v>0</v>
      </c>
      <c r="AF32" s="87">
        <v>0</v>
      </c>
      <c r="AG32" s="87">
        <v>0</v>
      </c>
      <c r="AH32" s="88">
        <v>0</v>
      </c>
      <c r="AI32" s="88"/>
      <c r="AJ32" s="112">
        <f>52500+1500</f>
        <v>54000</v>
      </c>
      <c r="AK32" s="3">
        <f t="shared" si="1"/>
        <v>54000</v>
      </c>
      <c r="AL32" s="88"/>
      <c r="AM32" s="87"/>
      <c r="AN32" s="87"/>
      <c r="AO32" s="87"/>
      <c r="AP32" s="87"/>
      <c r="AQ32" s="87"/>
      <c r="AR32" s="87"/>
      <c r="AS32" s="87"/>
      <c r="AT32" s="87"/>
      <c r="AU32" s="3">
        <f t="shared" si="2"/>
        <v>0</v>
      </c>
      <c r="AV32" s="109"/>
      <c r="AW32" s="109"/>
      <c r="AX32" s="96">
        <v>0</v>
      </c>
      <c r="AY32" s="98">
        <v>0</v>
      </c>
      <c r="AZ32" s="176"/>
      <c r="BA32" s="176"/>
      <c r="BB32" s="3">
        <f t="shared" si="5"/>
        <v>0</v>
      </c>
      <c r="BC32" s="35"/>
      <c r="BD32" s="35"/>
      <c r="BE32" s="35"/>
      <c r="BF32" s="35"/>
      <c r="BG32" s="35"/>
      <c r="BH32" s="35"/>
      <c r="BI32" s="73"/>
      <c r="BJ32" s="35"/>
      <c r="BL32">
        <f>+D32*5%</f>
        <v>2662.5040000000004</v>
      </c>
      <c r="BM32" s="91">
        <f>+BL32+D32</f>
        <v>55912.584000000003</v>
      </c>
      <c r="BP32" t="s">
        <v>12</v>
      </c>
      <c r="BQ32" t="s">
        <v>12</v>
      </c>
      <c r="BU32" t="s">
        <v>12</v>
      </c>
    </row>
    <row r="33" spans="1:73" x14ac:dyDescent="0.25">
      <c r="A33" s="71">
        <f t="shared" si="6"/>
        <v>30</v>
      </c>
      <c r="B33" s="95" t="s">
        <v>191</v>
      </c>
      <c r="C33" s="119">
        <v>24.038499999999999</v>
      </c>
      <c r="D33" s="65">
        <f t="shared" si="8"/>
        <v>50000.08</v>
      </c>
      <c r="E33" s="113">
        <f t="shared" si="3"/>
        <v>51000</v>
      </c>
      <c r="F33" s="184">
        <f t="shared" si="7"/>
        <v>999.91999999999825</v>
      </c>
      <c r="G33" s="166"/>
      <c r="H33" s="166"/>
      <c r="I33" s="166"/>
      <c r="J33" s="166"/>
      <c r="K33" s="166"/>
      <c r="L33" s="166"/>
      <c r="M33" s="166"/>
      <c r="N33" s="96">
        <v>0</v>
      </c>
      <c r="O33" s="34">
        <f t="shared" si="4"/>
        <v>0</v>
      </c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>
        <v>0</v>
      </c>
      <c r="AA33" s="34">
        <f>SUM(P33:Z33)</f>
        <v>0</v>
      </c>
      <c r="AB33" s="87">
        <v>0</v>
      </c>
      <c r="AC33" s="87">
        <v>0</v>
      </c>
      <c r="AD33" s="87">
        <v>0</v>
      </c>
      <c r="AE33" s="88">
        <v>0</v>
      </c>
      <c r="AF33" s="87">
        <v>0</v>
      </c>
      <c r="AG33" s="87"/>
      <c r="AH33" s="88">
        <v>0</v>
      </c>
      <c r="AI33" s="88"/>
      <c r="AJ33" s="112">
        <f>52500-1500</f>
        <v>51000</v>
      </c>
      <c r="AK33" s="3">
        <f t="shared" si="1"/>
        <v>51000</v>
      </c>
      <c r="AL33" s="88"/>
      <c r="AM33" s="87"/>
      <c r="AN33" s="87"/>
      <c r="AO33" s="87"/>
      <c r="AP33" s="87"/>
      <c r="AQ33" s="87"/>
      <c r="AR33" s="87"/>
      <c r="AS33" s="87"/>
      <c r="AT33" s="87"/>
      <c r="AU33" s="3">
        <f t="shared" si="2"/>
        <v>0</v>
      </c>
      <c r="AV33" s="109"/>
      <c r="AW33" s="109"/>
      <c r="AX33" s="96">
        <v>0</v>
      </c>
      <c r="AY33" s="98">
        <v>0</v>
      </c>
      <c r="AZ33" s="176"/>
      <c r="BA33" s="176">
        <v>0</v>
      </c>
      <c r="BB33" s="3">
        <f t="shared" si="5"/>
        <v>0</v>
      </c>
      <c r="BC33" s="35"/>
      <c r="BD33" s="35"/>
      <c r="BE33" s="35"/>
      <c r="BF33" s="35"/>
      <c r="BG33" s="35"/>
      <c r="BH33" s="35"/>
      <c r="BI33" s="73"/>
      <c r="BJ33" s="35"/>
      <c r="BL33">
        <f>+D33*5%</f>
        <v>2500.0040000000004</v>
      </c>
      <c r="BM33" s="91">
        <f>+BL33+D33</f>
        <v>52500.084000000003</v>
      </c>
      <c r="BQ33" t="s">
        <v>12</v>
      </c>
      <c r="BU33" t="s">
        <v>12</v>
      </c>
    </row>
    <row r="34" spans="1:73" x14ac:dyDescent="0.25">
      <c r="A34" s="71">
        <f t="shared" si="6"/>
        <v>31</v>
      </c>
      <c r="B34" s="67" t="s">
        <v>152</v>
      </c>
      <c r="C34" s="119">
        <v>31.25</v>
      </c>
      <c r="D34" s="65">
        <f t="shared" si="8"/>
        <v>65000</v>
      </c>
      <c r="E34" s="113">
        <f t="shared" si="3"/>
        <v>63158.75</v>
      </c>
      <c r="F34" s="179">
        <f t="shared" si="7"/>
        <v>-1841.25</v>
      </c>
      <c r="G34" s="166"/>
      <c r="H34" s="166">
        <v>6825</v>
      </c>
      <c r="I34" s="166"/>
      <c r="J34" s="166"/>
      <c r="K34" s="166"/>
      <c r="L34" s="166"/>
      <c r="M34" s="166"/>
      <c r="N34" s="96"/>
      <c r="O34" s="34">
        <f t="shared" si="4"/>
        <v>6825</v>
      </c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>
        <v>0</v>
      </c>
      <c r="AA34" s="34">
        <f>SUM(P34:Z34)</f>
        <v>0</v>
      </c>
      <c r="AB34" s="87">
        <v>0</v>
      </c>
      <c r="AC34" s="87">
        <v>0</v>
      </c>
      <c r="AD34" s="87">
        <v>0</v>
      </c>
      <c r="AE34" s="88">
        <v>0</v>
      </c>
      <c r="AF34" s="87">
        <v>0</v>
      </c>
      <c r="AG34" s="87"/>
      <c r="AH34" s="88">
        <v>0</v>
      </c>
      <c r="AI34" s="88">
        <v>0</v>
      </c>
      <c r="AJ34" s="87">
        <v>0</v>
      </c>
      <c r="AK34" s="3">
        <f t="shared" si="1"/>
        <v>0</v>
      </c>
      <c r="AL34" s="88"/>
      <c r="AM34" s="87"/>
      <c r="AN34" s="87"/>
      <c r="AO34" s="87"/>
      <c r="AP34" s="87"/>
      <c r="AQ34" s="87"/>
      <c r="AR34" s="87"/>
      <c r="AS34" s="87"/>
      <c r="AT34" s="87"/>
      <c r="AU34" s="3">
        <f t="shared" si="2"/>
        <v>0</v>
      </c>
      <c r="AV34" s="109"/>
      <c r="AW34" s="130">
        <v>7386.25</v>
      </c>
      <c r="AX34" s="96">
        <v>15697.5</v>
      </c>
      <c r="AY34" s="98">
        <v>0</v>
      </c>
      <c r="AZ34" s="177">
        <v>33250</v>
      </c>
      <c r="BA34" s="176">
        <v>0</v>
      </c>
      <c r="BB34" s="3">
        <f t="shared" si="5"/>
        <v>48947.5</v>
      </c>
      <c r="BC34" s="35"/>
      <c r="BD34" s="35"/>
      <c r="BE34" s="35"/>
      <c r="BF34" s="35"/>
      <c r="BG34" s="35"/>
      <c r="BH34" s="35"/>
      <c r="BI34" s="73"/>
      <c r="BJ34" s="35"/>
      <c r="BL34">
        <f>+D34*5%</f>
        <v>3250</v>
      </c>
      <c r="BM34" s="91">
        <f>+BL34+D34</f>
        <v>68250</v>
      </c>
      <c r="BO34" t="s">
        <v>12</v>
      </c>
      <c r="BP34" t="s">
        <v>12</v>
      </c>
      <c r="BQ34" t="s">
        <v>12</v>
      </c>
    </row>
    <row r="35" spans="1:73" x14ac:dyDescent="0.25">
      <c r="A35" s="71">
        <f t="shared" si="6"/>
        <v>32</v>
      </c>
      <c r="B35" s="11" t="s">
        <v>14</v>
      </c>
      <c r="C35" s="24">
        <v>36.057690000000001</v>
      </c>
      <c r="D35" s="65">
        <f t="shared" si="8"/>
        <v>74999.995200000005</v>
      </c>
      <c r="E35" s="113">
        <f t="shared" si="3"/>
        <v>134724.99</v>
      </c>
      <c r="F35" s="184">
        <f t="shared" si="7"/>
        <v>59724.994799999986</v>
      </c>
      <c r="G35" s="166">
        <v>3150</v>
      </c>
      <c r="H35" s="166">
        <v>1575</v>
      </c>
      <c r="I35" s="166"/>
      <c r="J35" s="166">
        <v>4725</v>
      </c>
      <c r="K35" s="166">
        <v>2362.5</v>
      </c>
      <c r="L35" s="166">
        <v>3937.5</v>
      </c>
      <c r="M35" s="166"/>
      <c r="N35" s="96">
        <v>3150</v>
      </c>
      <c r="O35" s="34">
        <f t="shared" si="4"/>
        <v>18900</v>
      </c>
      <c r="P35" s="98">
        <v>3150</v>
      </c>
      <c r="Q35" s="98">
        <v>1575</v>
      </c>
      <c r="R35" s="98"/>
      <c r="S35" s="98"/>
      <c r="T35" s="98">
        <v>2362.5</v>
      </c>
      <c r="U35" s="98">
        <v>1575</v>
      </c>
      <c r="V35" s="98"/>
      <c r="W35" s="98">
        <v>1575</v>
      </c>
      <c r="X35" s="98">
        <v>2362.5</v>
      </c>
      <c r="Y35" s="98">
        <v>2362.5</v>
      </c>
      <c r="Z35" s="98">
        <v>2362.5</v>
      </c>
      <c r="AA35" s="34">
        <f>SUM(P35:Z35)</f>
        <v>17325</v>
      </c>
      <c r="AB35" s="89">
        <v>3938</v>
      </c>
      <c r="AC35" s="87">
        <v>0</v>
      </c>
      <c r="AD35" s="89">
        <v>15750</v>
      </c>
      <c r="AE35" s="89">
        <v>11813</v>
      </c>
      <c r="AF35" s="89">
        <v>1575</v>
      </c>
      <c r="AG35" s="89"/>
      <c r="AH35" s="89">
        <v>6634.58</v>
      </c>
      <c r="AI35" s="89">
        <v>3750</v>
      </c>
      <c r="AJ35" s="89">
        <v>7875</v>
      </c>
      <c r="AK35" s="3">
        <f t="shared" si="1"/>
        <v>51335.58</v>
      </c>
      <c r="AL35" s="88">
        <f>+'[8]P 2-Salary '!$J$20-1000</f>
        <v>575</v>
      </c>
      <c r="AM35" s="87">
        <f>+'[9]P 2-Salary '!$J$19</f>
        <v>2362.5</v>
      </c>
      <c r="AN35" s="87">
        <f>+'[7]P 2-Salary '!$J$21</f>
        <v>3937.5</v>
      </c>
      <c r="AO35" s="87">
        <f>+'[2]P 2-Salary '!$J$17</f>
        <v>7875</v>
      </c>
      <c r="AP35" s="87">
        <f>+'[10]P 2-Salary '!$J$17</f>
        <v>3150</v>
      </c>
      <c r="AQ35" s="87">
        <f>+'[11]P 2-Salary '!$J$17</f>
        <v>3150</v>
      </c>
      <c r="AR35" s="87">
        <f>+'[4]P 2-Salary '!$J$22</f>
        <v>3937.5</v>
      </c>
      <c r="AS35" s="87">
        <f>+'[5]P 2-Salary '!$J$20</f>
        <v>3150</v>
      </c>
      <c r="AT35" s="87">
        <f>+'[6]P 2-Salary '!$J$21</f>
        <v>6300</v>
      </c>
      <c r="AU35" s="3">
        <f t="shared" si="2"/>
        <v>34437.5</v>
      </c>
      <c r="AV35" s="130">
        <v>0</v>
      </c>
      <c r="AW35" s="130">
        <v>5250</v>
      </c>
      <c r="AX35" s="96">
        <v>1575</v>
      </c>
      <c r="AY35" s="98">
        <v>1575</v>
      </c>
      <c r="AZ35" s="177">
        <v>4326.91</v>
      </c>
      <c r="BA35" s="176">
        <v>0</v>
      </c>
      <c r="BB35" s="3">
        <f t="shared" si="5"/>
        <v>7476.91</v>
      </c>
      <c r="BC35" s="35"/>
      <c r="BD35" s="35"/>
      <c r="BE35" s="35"/>
      <c r="BF35" s="35"/>
      <c r="BG35" s="35"/>
      <c r="BH35" s="35"/>
      <c r="BI35" s="73"/>
      <c r="BJ35" s="35"/>
      <c r="BL35">
        <f>+D35*5%</f>
        <v>3749.9997600000006</v>
      </c>
      <c r="BM35" s="91">
        <f>+BL35+D35</f>
        <v>78749.994960000011</v>
      </c>
      <c r="BQ35" t="s">
        <v>12</v>
      </c>
      <c r="BR35" t="s">
        <v>12</v>
      </c>
    </row>
    <row r="36" spans="1:73" x14ac:dyDescent="0.25">
      <c r="A36" s="71">
        <f t="shared" si="6"/>
        <v>33</v>
      </c>
      <c r="B36" s="67" t="s">
        <v>156</v>
      </c>
      <c r="C36" s="24">
        <v>24.038499999999999</v>
      </c>
      <c r="D36" s="65">
        <f t="shared" si="8"/>
        <v>50000.08</v>
      </c>
      <c r="E36" s="113">
        <f t="shared" si="3"/>
        <v>52500</v>
      </c>
      <c r="F36" s="184">
        <f t="shared" si="7"/>
        <v>2499.9199999999983</v>
      </c>
      <c r="G36" s="166"/>
      <c r="H36" s="166"/>
      <c r="I36" s="166"/>
      <c r="J36" s="166"/>
      <c r="K36" s="166"/>
      <c r="L36" s="166"/>
      <c r="M36" s="166"/>
      <c r="N36" s="96">
        <v>0</v>
      </c>
      <c r="O36" s="34">
        <f t="shared" si="4"/>
        <v>0</v>
      </c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>
        <v>0</v>
      </c>
      <c r="AA36" s="34">
        <f>SUM(P36:Z36)</f>
        <v>0</v>
      </c>
      <c r="AB36" s="87">
        <v>0</v>
      </c>
      <c r="AC36" s="87">
        <v>0</v>
      </c>
      <c r="AD36" s="89">
        <v>52500</v>
      </c>
      <c r="AE36" s="88">
        <v>0</v>
      </c>
      <c r="AF36" s="87">
        <v>0</v>
      </c>
      <c r="AG36" s="87"/>
      <c r="AH36" s="88">
        <v>0</v>
      </c>
      <c r="AI36" s="88"/>
      <c r="AJ36" s="87">
        <v>0</v>
      </c>
      <c r="AK36" s="3">
        <f t="shared" si="1"/>
        <v>52500</v>
      </c>
      <c r="AL36" s="88"/>
      <c r="AM36" s="87"/>
      <c r="AN36" s="87"/>
      <c r="AO36" s="87"/>
      <c r="AP36" s="87"/>
      <c r="AQ36" s="87"/>
      <c r="AR36" s="87"/>
      <c r="AS36" s="87"/>
      <c r="AT36" s="87"/>
      <c r="AU36" s="3">
        <f t="shared" si="2"/>
        <v>0</v>
      </c>
      <c r="AV36" s="109"/>
      <c r="AW36" s="109"/>
      <c r="AX36" s="96">
        <v>0</v>
      </c>
      <c r="AY36" s="98">
        <v>0</v>
      </c>
      <c r="AZ36" s="176"/>
      <c r="BA36" s="176"/>
      <c r="BB36" s="3">
        <f t="shared" si="5"/>
        <v>0</v>
      </c>
      <c r="BC36" s="35">
        <v>0</v>
      </c>
      <c r="BD36" s="35"/>
      <c r="BE36" s="35"/>
      <c r="BF36" s="35"/>
      <c r="BG36" s="35"/>
      <c r="BH36" s="35"/>
      <c r="BI36" s="73"/>
      <c r="BJ36" s="35"/>
      <c r="BL36">
        <f>+D36*5%</f>
        <v>2500.0040000000004</v>
      </c>
      <c r="BM36" s="91">
        <f>+BL36+D36</f>
        <v>52500.084000000003</v>
      </c>
    </row>
    <row r="37" spans="1:73" x14ac:dyDescent="0.25">
      <c r="A37" s="71">
        <f t="shared" si="6"/>
        <v>34</v>
      </c>
      <c r="B37" s="67" t="s">
        <v>76</v>
      </c>
      <c r="C37" s="119">
        <v>25.600999999999999</v>
      </c>
      <c r="D37" s="65">
        <f t="shared" si="8"/>
        <v>53250.080000000002</v>
      </c>
      <c r="E37" s="113">
        <f t="shared" si="3"/>
        <v>56778.09</v>
      </c>
      <c r="F37" s="184">
        <f t="shared" si="7"/>
        <v>3528.0099999999948</v>
      </c>
      <c r="G37" s="166"/>
      <c r="H37" s="166"/>
      <c r="I37" s="166"/>
      <c r="J37" s="166"/>
      <c r="K37" s="166"/>
      <c r="L37" s="166"/>
      <c r="M37" s="166"/>
      <c r="N37" s="96">
        <v>0</v>
      </c>
      <c r="O37" s="34">
        <f t="shared" si="4"/>
        <v>0</v>
      </c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>
        <v>0</v>
      </c>
      <c r="AA37" s="34">
        <f>SUM(P37:Z37)</f>
        <v>0</v>
      </c>
      <c r="AB37" s="87">
        <v>0</v>
      </c>
      <c r="AC37" s="89">
        <v>2796</v>
      </c>
      <c r="AD37" s="89">
        <v>10650</v>
      </c>
      <c r="AE37" s="89">
        <v>10650</v>
      </c>
      <c r="AF37" s="89">
        <v>26250</v>
      </c>
      <c r="AG37" s="89">
        <v>4000</v>
      </c>
      <c r="AH37" s="89">
        <v>2432.09</v>
      </c>
      <c r="AI37" s="88"/>
      <c r="AJ37" s="87">
        <v>0</v>
      </c>
      <c r="AK37" s="3">
        <f t="shared" si="1"/>
        <v>56778.09</v>
      </c>
      <c r="AL37" s="88"/>
      <c r="AM37" s="87"/>
      <c r="AN37" s="87"/>
      <c r="AO37" s="87"/>
      <c r="AP37" s="87"/>
      <c r="AQ37" s="87"/>
      <c r="AR37" s="87"/>
      <c r="AS37" s="87"/>
      <c r="AT37" s="87"/>
      <c r="AU37" s="3">
        <f t="shared" si="2"/>
        <v>0</v>
      </c>
      <c r="AV37" s="109"/>
      <c r="AW37" s="109"/>
      <c r="AX37" s="96">
        <v>0</v>
      </c>
      <c r="AY37" s="98">
        <v>0</v>
      </c>
      <c r="AZ37" s="176"/>
      <c r="BA37" s="176"/>
      <c r="BB37" s="3">
        <f t="shared" si="5"/>
        <v>0</v>
      </c>
      <c r="BC37" s="35"/>
      <c r="BD37" s="35"/>
      <c r="BE37" s="35"/>
      <c r="BF37" s="35"/>
      <c r="BG37" s="35"/>
      <c r="BH37" s="35"/>
      <c r="BI37" s="73"/>
      <c r="BJ37" s="35"/>
      <c r="BL37">
        <f>+D37*5%</f>
        <v>2662.5040000000004</v>
      </c>
      <c r="BM37" s="91">
        <f>+BL37+D37</f>
        <v>55912.584000000003</v>
      </c>
    </row>
    <row r="38" spans="1:73" x14ac:dyDescent="0.25">
      <c r="A38" s="71">
        <f t="shared" si="6"/>
        <v>35</v>
      </c>
      <c r="B38" s="67" t="s">
        <v>35</v>
      </c>
      <c r="C38" s="24">
        <v>31.25</v>
      </c>
      <c r="D38" s="65">
        <f t="shared" si="8"/>
        <v>65000</v>
      </c>
      <c r="E38" s="113">
        <f t="shared" si="3"/>
        <v>95315</v>
      </c>
      <c r="F38" s="184">
        <f t="shared" si="7"/>
        <v>30315</v>
      </c>
      <c r="G38" s="166"/>
      <c r="H38" s="166"/>
      <c r="I38" s="166"/>
      <c r="J38" s="166"/>
      <c r="K38" s="166"/>
      <c r="L38" s="166"/>
      <c r="M38" s="166"/>
      <c r="N38" s="96">
        <v>0</v>
      </c>
      <c r="O38" s="34">
        <f t="shared" si="4"/>
        <v>0</v>
      </c>
      <c r="P38" s="98"/>
      <c r="Q38" s="98">
        <v>7875</v>
      </c>
      <c r="R38" s="98"/>
      <c r="S38" s="98"/>
      <c r="T38" s="98">
        <v>8400</v>
      </c>
      <c r="U38" s="98"/>
      <c r="V38" s="98">
        <v>2625</v>
      </c>
      <c r="W38" s="98">
        <v>5250</v>
      </c>
      <c r="X38" s="98">
        <v>5250</v>
      </c>
      <c r="Y38" s="98"/>
      <c r="Z38" s="98">
        <v>0</v>
      </c>
      <c r="AA38" s="34">
        <f>SUM(P38:Z38)</f>
        <v>29400</v>
      </c>
      <c r="AB38" s="87">
        <v>0</v>
      </c>
      <c r="AC38" s="87">
        <v>0</v>
      </c>
      <c r="AD38" s="89">
        <v>65915</v>
      </c>
      <c r="AE38" s="88">
        <v>0</v>
      </c>
      <c r="AF38" s="87">
        <v>0</v>
      </c>
      <c r="AG38" s="87"/>
      <c r="AH38" s="88">
        <v>0</v>
      </c>
      <c r="AI38" s="88">
        <v>0</v>
      </c>
      <c r="AJ38" s="87">
        <v>0</v>
      </c>
      <c r="AK38" s="3">
        <f t="shared" si="1"/>
        <v>65915</v>
      </c>
      <c r="AL38" s="88"/>
      <c r="AM38" s="87"/>
      <c r="AN38" s="87"/>
      <c r="AO38" s="87"/>
      <c r="AP38" s="87"/>
      <c r="AQ38" s="87"/>
      <c r="AR38" s="87"/>
      <c r="AS38" s="87"/>
      <c r="AT38" s="87"/>
      <c r="AU38" s="3">
        <f t="shared" si="2"/>
        <v>0</v>
      </c>
      <c r="AV38" s="109"/>
      <c r="AW38" s="109"/>
      <c r="AX38" s="96">
        <v>0</v>
      </c>
      <c r="AY38" s="98">
        <v>0</v>
      </c>
      <c r="AZ38" s="176"/>
      <c r="BA38" s="176"/>
      <c r="BB38" s="3">
        <f t="shared" si="5"/>
        <v>0</v>
      </c>
      <c r="BC38" s="35"/>
      <c r="BD38" s="35"/>
      <c r="BE38" s="35"/>
      <c r="BF38" s="35"/>
      <c r="BG38" s="35"/>
      <c r="BH38" s="35"/>
      <c r="BI38" s="73"/>
      <c r="BJ38" s="35"/>
      <c r="BL38">
        <f>+D38*5%</f>
        <v>3250</v>
      </c>
      <c r="BM38" s="91">
        <f>+BL38+D38</f>
        <v>68250</v>
      </c>
    </row>
    <row r="39" spans="1:73" x14ac:dyDescent="0.25">
      <c r="A39" s="71">
        <f t="shared" si="6"/>
        <v>36</v>
      </c>
      <c r="B39" s="67" t="s">
        <v>21</v>
      </c>
      <c r="C39" s="24">
        <v>30.5547</v>
      </c>
      <c r="D39" s="65">
        <f t="shared" si="8"/>
        <v>63553.775999999998</v>
      </c>
      <c r="E39" s="113">
        <f t="shared" si="3"/>
        <v>87417.609999999986</v>
      </c>
      <c r="F39" s="184">
        <f t="shared" si="7"/>
        <v>23863.833999999988</v>
      </c>
      <c r="G39" s="166"/>
      <c r="H39" s="166"/>
      <c r="I39" s="166"/>
      <c r="J39" s="166">
        <v>6673.1</v>
      </c>
      <c r="K39" s="166">
        <v>5338.48</v>
      </c>
      <c r="L39" s="166">
        <v>5338.48</v>
      </c>
      <c r="M39" s="166"/>
      <c r="N39" s="96">
        <v>0</v>
      </c>
      <c r="O39" s="34">
        <f t="shared" si="4"/>
        <v>17350.059999999998</v>
      </c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>
        <v>0</v>
      </c>
      <c r="AA39" s="34">
        <f>SUM(P39:Z39)</f>
        <v>0</v>
      </c>
      <c r="AB39" s="87">
        <v>0</v>
      </c>
      <c r="AC39" s="87">
        <v>0</v>
      </c>
      <c r="AD39" s="87">
        <v>0</v>
      </c>
      <c r="AE39" s="88">
        <v>0</v>
      </c>
      <c r="AF39" s="87">
        <v>0</v>
      </c>
      <c r="AG39" s="87"/>
      <c r="AH39" s="88">
        <v>0</v>
      </c>
      <c r="AI39" s="88"/>
      <c r="AJ39" s="87">
        <v>0</v>
      </c>
      <c r="AK39" s="3">
        <f t="shared" si="1"/>
        <v>0</v>
      </c>
      <c r="AL39" s="88"/>
      <c r="AM39" s="87"/>
      <c r="AN39" s="87"/>
      <c r="AO39" s="87"/>
      <c r="AP39" s="87"/>
      <c r="AQ39" s="87"/>
      <c r="AR39" s="87">
        <f>+'[4]P 2-Salary '!$J$19</f>
        <v>23355.85</v>
      </c>
      <c r="AS39" s="87">
        <f>+'[5]P 2-Salary '!$J$18</f>
        <v>20019.3</v>
      </c>
      <c r="AT39" s="87">
        <f>+'[6]P 2-Salary '!$J$17</f>
        <v>26692.400000000001</v>
      </c>
      <c r="AU39" s="3">
        <f t="shared" si="2"/>
        <v>70067.549999999988</v>
      </c>
      <c r="AV39" s="109"/>
      <c r="AW39" s="109"/>
      <c r="AX39" s="96">
        <v>0</v>
      </c>
      <c r="AY39" s="98">
        <v>0</v>
      </c>
      <c r="AZ39" s="176"/>
      <c r="BA39" s="176"/>
      <c r="BB39" s="3">
        <f t="shared" si="5"/>
        <v>0</v>
      </c>
      <c r="BC39" s="35"/>
      <c r="BD39" s="35"/>
      <c r="BE39" s="35">
        <v>0</v>
      </c>
      <c r="BF39" s="35"/>
      <c r="BG39" s="35"/>
      <c r="BH39" s="35">
        <v>0</v>
      </c>
      <c r="BI39" s="73"/>
      <c r="BJ39" s="35"/>
      <c r="BL39">
        <f>+D39*5%</f>
        <v>3177.6887999999999</v>
      </c>
      <c r="BM39" s="91">
        <f>+BL39+D39</f>
        <v>66731.464800000002</v>
      </c>
    </row>
    <row r="40" spans="1:73" x14ac:dyDescent="0.25">
      <c r="A40" s="71">
        <f t="shared" si="6"/>
        <v>37</v>
      </c>
      <c r="B40" s="67" t="s">
        <v>166</v>
      </c>
      <c r="C40" s="24">
        <v>24.038499999999999</v>
      </c>
      <c r="D40" s="65">
        <f t="shared" si="8"/>
        <v>50000.08</v>
      </c>
      <c r="E40" s="113">
        <f t="shared" si="3"/>
        <v>52500</v>
      </c>
      <c r="F40" s="184">
        <f t="shared" si="7"/>
        <v>2499.9199999999983</v>
      </c>
      <c r="G40" s="166"/>
      <c r="H40" s="166"/>
      <c r="I40" s="166"/>
      <c r="J40" s="166"/>
      <c r="K40" s="166"/>
      <c r="L40" s="166"/>
      <c r="M40" s="166"/>
      <c r="N40" s="96">
        <v>0</v>
      </c>
      <c r="O40" s="34">
        <f t="shared" si="4"/>
        <v>0</v>
      </c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>
        <v>0</v>
      </c>
      <c r="AA40" s="34">
        <f>SUM(P40:Z40)</f>
        <v>0</v>
      </c>
      <c r="AB40" s="89">
        <v>52500</v>
      </c>
      <c r="AC40" s="87"/>
      <c r="AD40" s="87"/>
      <c r="AE40" s="88"/>
      <c r="AF40" s="87"/>
      <c r="AG40" s="87"/>
      <c r="AH40" s="88">
        <v>0</v>
      </c>
      <c r="AI40" s="88"/>
      <c r="AJ40" s="87"/>
      <c r="AK40" s="3">
        <f>SUM(AB40:AJ40)</f>
        <v>52500</v>
      </c>
      <c r="AL40" s="88"/>
      <c r="AM40" s="87"/>
      <c r="AN40" s="87"/>
      <c r="AO40" s="87"/>
      <c r="AP40" s="87"/>
      <c r="AQ40" s="87"/>
      <c r="AR40" s="87"/>
      <c r="AS40" s="87"/>
      <c r="AT40" s="87"/>
      <c r="AU40" s="3"/>
      <c r="AV40" s="109"/>
      <c r="AW40" s="109"/>
      <c r="AX40" s="96">
        <v>0</v>
      </c>
      <c r="AY40" s="98">
        <v>0</v>
      </c>
      <c r="AZ40" s="176"/>
      <c r="BA40" s="176"/>
      <c r="BB40" s="3">
        <f t="shared" si="5"/>
        <v>0</v>
      </c>
      <c r="BC40" s="35"/>
      <c r="BD40" s="35"/>
      <c r="BE40" s="35"/>
      <c r="BF40" s="35"/>
      <c r="BG40" s="35"/>
      <c r="BH40" s="35"/>
      <c r="BI40" s="73"/>
      <c r="BJ40" s="35"/>
      <c r="BL40">
        <f>+D40*5%</f>
        <v>2500.0040000000004</v>
      </c>
      <c r="BM40" s="91">
        <f>+BL40+D40</f>
        <v>52500.084000000003</v>
      </c>
    </row>
    <row r="41" spans="1:73" ht="13.9" customHeight="1" x14ac:dyDescent="0.25">
      <c r="A41" s="71">
        <f t="shared" si="6"/>
        <v>38</v>
      </c>
      <c r="B41" s="67" t="s">
        <v>62</v>
      </c>
      <c r="C41" s="119">
        <v>28.161000000000001</v>
      </c>
      <c r="D41" s="65">
        <f t="shared" si="8"/>
        <v>58574.880000000005</v>
      </c>
      <c r="E41" s="113">
        <f t="shared" si="3"/>
        <v>66049.23</v>
      </c>
      <c r="F41" s="184">
        <f t="shared" si="7"/>
        <v>7474.3499999999913</v>
      </c>
      <c r="G41" s="166"/>
      <c r="H41" s="166"/>
      <c r="I41" s="166"/>
      <c r="J41" s="166"/>
      <c r="K41" s="166"/>
      <c r="L41" s="166"/>
      <c r="M41" s="166"/>
      <c r="N41" s="96">
        <v>0</v>
      </c>
      <c r="O41" s="34">
        <f t="shared" si="4"/>
        <v>0</v>
      </c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>
        <v>0</v>
      </c>
      <c r="AA41" s="34">
        <f>SUM(P41:Z41)</f>
        <v>0</v>
      </c>
      <c r="AB41" s="87">
        <v>0</v>
      </c>
      <c r="AC41" s="87">
        <v>0</v>
      </c>
      <c r="AD41" s="87">
        <v>0</v>
      </c>
      <c r="AE41" s="88">
        <v>0</v>
      </c>
      <c r="AF41" s="87">
        <v>0</v>
      </c>
      <c r="AG41" s="87"/>
      <c r="AH41" s="88">
        <v>0</v>
      </c>
      <c r="AI41" s="88">
        <v>0</v>
      </c>
      <c r="AJ41" s="87">
        <v>0</v>
      </c>
      <c r="AK41" s="3">
        <f t="shared" ref="AK41:AK51" si="9">SUM(AB41:AJ41)</f>
        <v>0</v>
      </c>
      <c r="AL41" s="88"/>
      <c r="AM41" s="87"/>
      <c r="AN41" s="87"/>
      <c r="AO41" s="87"/>
      <c r="AP41" s="87"/>
      <c r="AQ41" s="87"/>
      <c r="AR41" s="87"/>
      <c r="AS41" s="87">
        <f>+'[5]P 2-Salary '!$J$23+5000</f>
        <v>35751.5</v>
      </c>
      <c r="AT41" s="87"/>
      <c r="AU41" s="3">
        <f t="shared" ref="AU41:AU51" si="10">SUM(AL41:AT41)</f>
        <v>35751.5</v>
      </c>
      <c r="AV41" s="109"/>
      <c r="AW41" s="130">
        <f>17482.34+5500+1215.39+1600</f>
        <v>25797.73</v>
      </c>
      <c r="AX41" s="96">
        <v>0</v>
      </c>
      <c r="AY41" s="98">
        <v>0</v>
      </c>
      <c r="AZ41" s="177">
        <v>4500</v>
      </c>
      <c r="BA41" s="176">
        <v>0</v>
      </c>
      <c r="BB41" s="3">
        <f t="shared" si="5"/>
        <v>4500</v>
      </c>
      <c r="BC41" s="35"/>
      <c r="BD41" s="35"/>
      <c r="BE41" s="35"/>
      <c r="BF41" s="35"/>
      <c r="BG41" s="35"/>
      <c r="BH41" s="35"/>
      <c r="BI41" s="73"/>
      <c r="BJ41" s="35"/>
      <c r="BL41">
        <f>+D41*5%</f>
        <v>2928.7440000000006</v>
      </c>
      <c r="BM41" s="91">
        <f>+BL41+D41</f>
        <v>61503.624000000003</v>
      </c>
      <c r="BO41" t="s">
        <v>12</v>
      </c>
      <c r="BU41" t="s">
        <v>12</v>
      </c>
    </row>
    <row r="42" spans="1:73" x14ac:dyDescent="0.25">
      <c r="A42" s="71">
        <f t="shared" si="6"/>
        <v>39</v>
      </c>
      <c r="B42" s="67" t="s">
        <v>153</v>
      </c>
      <c r="C42" s="24">
        <v>27.777000000000001</v>
      </c>
      <c r="D42" s="65">
        <f t="shared" si="8"/>
        <v>57776.160000000003</v>
      </c>
      <c r="E42" s="113">
        <f t="shared" si="3"/>
        <v>60665</v>
      </c>
      <c r="F42" s="184">
        <f t="shared" si="7"/>
        <v>2888.8399999999965</v>
      </c>
      <c r="G42" s="166"/>
      <c r="H42" s="166"/>
      <c r="I42" s="166"/>
      <c r="J42" s="166"/>
      <c r="K42" s="166"/>
      <c r="L42" s="166"/>
      <c r="M42" s="166"/>
      <c r="N42" s="96">
        <v>0</v>
      </c>
      <c r="O42" s="34">
        <f t="shared" si="4"/>
        <v>0</v>
      </c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>
        <v>0</v>
      </c>
      <c r="AA42" s="34">
        <f>SUM(P42:Z42)</f>
        <v>0</v>
      </c>
      <c r="AB42" s="87">
        <v>0</v>
      </c>
      <c r="AC42" s="87">
        <v>0</v>
      </c>
      <c r="AD42" s="87">
        <v>0</v>
      </c>
      <c r="AE42" s="88">
        <v>0</v>
      </c>
      <c r="AF42" s="87">
        <v>0</v>
      </c>
      <c r="AG42" s="87"/>
      <c r="AH42" s="88">
        <v>0</v>
      </c>
      <c r="AI42" s="88"/>
      <c r="AJ42" s="87">
        <v>0</v>
      </c>
      <c r="AK42" s="3">
        <f t="shared" si="9"/>
        <v>0</v>
      </c>
      <c r="AL42" s="88"/>
      <c r="AM42" s="87">
        <f>+'[9]P 2-Salary '!$J$17</f>
        <v>60665</v>
      </c>
      <c r="AN42" s="87"/>
      <c r="AO42" s="87"/>
      <c r="AP42" s="87"/>
      <c r="AQ42" s="87"/>
      <c r="AR42" s="87"/>
      <c r="AS42" s="87"/>
      <c r="AT42" s="87"/>
      <c r="AU42" s="3">
        <f t="shared" si="10"/>
        <v>60665</v>
      </c>
      <c r="AV42" s="109"/>
      <c r="AW42" s="109"/>
      <c r="AX42" s="96">
        <v>0</v>
      </c>
      <c r="AY42" s="98">
        <v>0</v>
      </c>
      <c r="AZ42" s="176"/>
      <c r="BA42" s="176"/>
      <c r="BB42" s="3">
        <f t="shared" si="5"/>
        <v>0</v>
      </c>
      <c r="BC42" s="35"/>
      <c r="BD42" s="35"/>
      <c r="BE42" s="35"/>
      <c r="BF42" s="35"/>
      <c r="BG42" s="35"/>
      <c r="BH42" s="35"/>
      <c r="BI42" s="73">
        <v>0</v>
      </c>
      <c r="BJ42" s="35"/>
      <c r="BL42">
        <f>+D42*5%</f>
        <v>2888.8080000000004</v>
      </c>
      <c r="BM42" s="91">
        <f>+BL42+D42</f>
        <v>60664.968000000001</v>
      </c>
      <c r="BU42" t="s">
        <v>12</v>
      </c>
    </row>
    <row r="43" spans="1:73" x14ac:dyDescent="0.25">
      <c r="A43" s="71">
        <f t="shared" si="6"/>
        <v>40</v>
      </c>
      <c r="B43" s="11" t="s">
        <v>24</v>
      </c>
      <c r="C43" s="24">
        <v>38.461500000000001</v>
      </c>
      <c r="D43" s="65">
        <f t="shared" si="8"/>
        <v>79999.92</v>
      </c>
      <c r="E43" s="113">
        <f t="shared" si="3"/>
        <v>108494.60999999999</v>
      </c>
      <c r="F43" s="184">
        <f t="shared" si="7"/>
        <v>28494.689999999988</v>
      </c>
      <c r="G43" s="166">
        <v>4200</v>
      </c>
      <c r="H43" s="166"/>
      <c r="I43" s="166"/>
      <c r="J43" s="166">
        <v>8400</v>
      </c>
      <c r="K43" s="166">
        <v>1680</v>
      </c>
      <c r="L43" s="166">
        <v>4200</v>
      </c>
      <c r="M43" s="166"/>
      <c r="N43" s="96">
        <v>0</v>
      </c>
      <c r="O43" s="34">
        <f t="shared" si="4"/>
        <v>18480</v>
      </c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>
        <v>0</v>
      </c>
      <c r="AA43" s="34">
        <f>SUM(P43:Z43)</f>
        <v>0</v>
      </c>
      <c r="AB43" s="87">
        <v>0</v>
      </c>
      <c r="AC43" s="87">
        <v>0</v>
      </c>
      <c r="AD43" s="87">
        <v>0</v>
      </c>
      <c r="AE43" s="88">
        <v>0</v>
      </c>
      <c r="AF43" s="87">
        <v>0</v>
      </c>
      <c r="AG43" s="87"/>
      <c r="AH43" s="88">
        <v>0</v>
      </c>
      <c r="AI43" s="88"/>
      <c r="AJ43" s="87">
        <v>0</v>
      </c>
      <c r="AK43" s="3">
        <f t="shared" si="9"/>
        <v>0</v>
      </c>
      <c r="AL43" s="88">
        <f>+'[8]P 2-Salary '!$J$18</f>
        <v>1680</v>
      </c>
      <c r="AM43" s="87">
        <f>+'[9]P 2-Salary '!$J$16</f>
        <v>4200</v>
      </c>
      <c r="AN43" s="87">
        <f>+'[7]P 2-Salary '!$J$20</f>
        <v>12600</v>
      </c>
      <c r="AO43" s="87">
        <f>+'[2]P 2-Salary '!$J$19</f>
        <v>21000</v>
      </c>
      <c r="AP43" s="87">
        <f>+'[10]P 2-Salary '!$J$21</f>
        <v>8400</v>
      </c>
      <c r="AQ43" s="87">
        <f>+'[11]P 2-Salary '!$J$21</f>
        <v>12600</v>
      </c>
      <c r="AR43" s="87">
        <f>+'[4]P 2-Salary '!$J$16</f>
        <v>8400</v>
      </c>
      <c r="AS43" s="87">
        <f>+'[5]P 2-Salary '!$J$16</f>
        <v>8400</v>
      </c>
      <c r="AT43" s="87">
        <f>+'[6]P 2-Salary '!$J$16</f>
        <v>8400</v>
      </c>
      <c r="AU43" s="3">
        <f t="shared" si="10"/>
        <v>85680</v>
      </c>
      <c r="AV43" s="109"/>
      <c r="AW43" s="130">
        <v>0</v>
      </c>
      <c r="AX43" s="96">
        <v>1950</v>
      </c>
      <c r="AY43" s="98">
        <v>0</v>
      </c>
      <c r="AZ43" s="176">
        <v>1923.07</v>
      </c>
      <c r="BA43" s="176">
        <v>0</v>
      </c>
      <c r="BB43" s="3">
        <f t="shared" si="5"/>
        <v>3873.0699999999997</v>
      </c>
      <c r="BC43" s="73">
        <v>0</v>
      </c>
      <c r="BD43" s="35"/>
      <c r="BE43" s="35"/>
      <c r="BF43" s="73">
        <v>461.54</v>
      </c>
      <c r="BG43" s="35">
        <v>0</v>
      </c>
      <c r="BH43" s="35"/>
      <c r="BI43" s="73"/>
      <c r="BJ43" s="35"/>
      <c r="BL43">
        <f>+D43*5%</f>
        <v>3999.9960000000001</v>
      </c>
      <c r="BM43" s="91">
        <f>+BL43+D43</f>
        <v>83999.915999999997</v>
      </c>
      <c r="BU43" t="s">
        <v>12</v>
      </c>
    </row>
    <row r="44" spans="1:73" x14ac:dyDescent="0.25">
      <c r="A44" s="71">
        <f t="shared" si="6"/>
        <v>41</v>
      </c>
      <c r="B44" s="67" t="s">
        <v>159</v>
      </c>
      <c r="C44" s="119">
        <v>24.038499999999999</v>
      </c>
      <c r="D44" s="65">
        <f t="shared" si="8"/>
        <v>50000.08</v>
      </c>
      <c r="E44" s="113">
        <f t="shared" si="3"/>
        <v>119500</v>
      </c>
      <c r="F44" s="184">
        <f t="shared" si="7"/>
        <v>69499.92</v>
      </c>
      <c r="G44" s="166"/>
      <c r="H44" s="166"/>
      <c r="I44" s="166"/>
      <c r="J44" s="166"/>
      <c r="K44" s="166"/>
      <c r="L44" s="166"/>
      <c r="M44" s="166"/>
      <c r="N44" s="96">
        <v>0</v>
      </c>
      <c r="O44" s="34">
        <f t="shared" si="4"/>
        <v>0</v>
      </c>
      <c r="P44" s="98">
        <v>7350</v>
      </c>
      <c r="Q44" s="98"/>
      <c r="R44" s="98"/>
      <c r="S44" s="98">
        <v>14700</v>
      </c>
      <c r="T44" s="98"/>
      <c r="U44" s="98"/>
      <c r="V44" s="98"/>
      <c r="W44" s="98"/>
      <c r="X44" s="98"/>
      <c r="Y44" s="98"/>
      <c r="Z44" s="98">
        <v>30450</v>
      </c>
      <c r="AA44" s="34">
        <f>SUM(P44:Z44)</f>
        <v>52500</v>
      </c>
      <c r="AB44" s="87">
        <v>0</v>
      </c>
      <c r="AC44" s="87">
        <v>25000</v>
      </c>
      <c r="AD44" s="87">
        <v>0</v>
      </c>
      <c r="AE44" s="88">
        <v>0</v>
      </c>
      <c r="AF44" s="87">
        <v>0</v>
      </c>
      <c r="AG44" s="87"/>
      <c r="AH44" s="88">
        <v>0</v>
      </c>
      <c r="AI44" s="88">
        <v>0</v>
      </c>
      <c r="AJ44" s="87">
        <v>0</v>
      </c>
      <c r="AK44" s="3">
        <f t="shared" si="9"/>
        <v>25000</v>
      </c>
      <c r="AL44" s="88"/>
      <c r="AM44" s="87"/>
      <c r="AN44" s="87"/>
      <c r="AO44" s="87"/>
      <c r="AP44" s="87"/>
      <c r="AQ44" s="87"/>
      <c r="AR44" s="87"/>
      <c r="AS44" s="87"/>
      <c r="AT44" s="87"/>
      <c r="AU44" s="3">
        <f t="shared" si="10"/>
        <v>0</v>
      </c>
      <c r="AV44" s="109"/>
      <c r="AW44" s="109"/>
      <c r="AX44" s="96">
        <v>0</v>
      </c>
      <c r="AY44" s="98">
        <v>42000</v>
      </c>
      <c r="AZ44" s="176"/>
      <c r="BA44" s="176"/>
      <c r="BB44" s="3">
        <f t="shared" si="5"/>
        <v>42000</v>
      </c>
      <c r="BC44" s="35"/>
      <c r="BD44" s="35"/>
      <c r="BE44" s="35"/>
      <c r="BF44" s="35"/>
      <c r="BG44" s="35"/>
      <c r="BH44" s="35"/>
      <c r="BI44" s="73">
        <v>0</v>
      </c>
      <c r="BJ44" s="35"/>
      <c r="BL44">
        <f>+D44*5%</f>
        <v>2500.0040000000004</v>
      </c>
      <c r="BM44" s="91">
        <f>+BL44+D44</f>
        <v>52500.084000000003</v>
      </c>
      <c r="BU44" t="s">
        <v>12</v>
      </c>
    </row>
    <row r="45" spans="1:73" x14ac:dyDescent="0.25">
      <c r="A45" s="71">
        <f t="shared" si="6"/>
        <v>42</v>
      </c>
      <c r="B45" s="67" t="s">
        <v>36</v>
      </c>
      <c r="C45" s="24">
        <v>28.161000000000001</v>
      </c>
      <c r="D45" s="65">
        <f t="shared" si="8"/>
        <v>58574.880000000005</v>
      </c>
      <c r="E45" s="113">
        <f t="shared" si="3"/>
        <v>62056.91</v>
      </c>
      <c r="F45" s="184">
        <f t="shared" si="7"/>
        <v>3482.0299999999988</v>
      </c>
      <c r="G45" s="166"/>
      <c r="H45" s="166"/>
      <c r="I45" s="166"/>
      <c r="J45" s="166"/>
      <c r="K45" s="166"/>
      <c r="L45" s="166"/>
      <c r="M45" s="166"/>
      <c r="N45" s="96">
        <v>0</v>
      </c>
      <c r="O45" s="34">
        <f t="shared" si="4"/>
        <v>0</v>
      </c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>
        <v>0</v>
      </c>
      <c r="AA45" s="34">
        <f>SUM(P45:Z45)</f>
        <v>0</v>
      </c>
      <c r="AB45" s="87">
        <v>0</v>
      </c>
      <c r="AC45" s="87">
        <v>0</v>
      </c>
      <c r="AD45" s="87">
        <v>0</v>
      </c>
      <c r="AE45" s="89">
        <v>0</v>
      </c>
      <c r="AF45" s="87">
        <v>0</v>
      </c>
      <c r="AG45" s="87"/>
      <c r="AH45" s="89">
        <v>6054.61</v>
      </c>
      <c r="AI45" s="88">
        <v>0</v>
      </c>
      <c r="AJ45" s="87">
        <v>0</v>
      </c>
      <c r="AK45" s="3">
        <f t="shared" si="9"/>
        <v>6054.61</v>
      </c>
      <c r="AL45" s="88"/>
      <c r="AM45" s="87"/>
      <c r="AN45" s="87"/>
      <c r="AO45" s="87"/>
      <c r="AP45" s="87"/>
      <c r="AQ45" s="87"/>
      <c r="AR45" s="87"/>
      <c r="AS45" s="87"/>
      <c r="AT45" s="87"/>
      <c r="AU45" s="3">
        <f t="shared" si="10"/>
        <v>0</v>
      </c>
      <c r="AV45" s="109"/>
      <c r="AW45" s="109"/>
      <c r="AX45" s="96">
        <v>0</v>
      </c>
      <c r="AY45" s="98">
        <v>52500</v>
      </c>
      <c r="AZ45" s="176">
        <v>0</v>
      </c>
      <c r="BA45" s="177">
        <v>3502.3</v>
      </c>
      <c r="BB45" s="3">
        <f t="shared" si="5"/>
        <v>56002.3</v>
      </c>
      <c r="BC45" s="35"/>
      <c r="BD45" s="35"/>
      <c r="BE45" s="35"/>
      <c r="BF45" s="35"/>
      <c r="BG45" s="35"/>
      <c r="BH45" s="35"/>
      <c r="BI45" s="73"/>
      <c r="BJ45" s="35"/>
      <c r="BL45">
        <f>+D45*5%</f>
        <v>2928.7440000000006</v>
      </c>
      <c r="BM45" s="91">
        <f>+BL45+D45</f>
        <v>61503.624000000003</v>
      </c>
      <c r="BU45" t="s">
        <v>12</v>
      </c>
    </row>
    <row r="46" spans="1:73" x14ac:dyDescent="0.25">
      <c r="A46" s="71">
        <f t="shared" si="6"/>
        <v>43</v>
      </c>
      <c r="B46" s="67" t="s">
        <v>154</v>
      </c>
      <c r="C46" s="119">
        <v>31.258800000000001</v>
      </c>
      <c r="D46" s="65">
        <f t="shared" ref="D46:D51" si="11">+C46*2080</f>
        <v>65018.304000000004</v>
      </c>
      <c r="E46" s="113">
        <f t="shared" si="3"/>
        <v>54122.820000000007</v>
      </c>
      <c r="F46" s="179">
        <f t="shared" si="7"/>
        <v>-10895.483999999997</v>
      </c>
      <c r="G46" s="166"/>
      <c r="H46" s="166">
        <v>13393.8</v>
      </c>
      <c r="I46" s="166"/>
      <c r="J46" s="166"/>
      <c r="K46" s="166"/>
      <c r="L46" s="166"/>
      <c r="M46" s="166"/>
      <c r="N46" s="96">
        <v>0</v>
      </c>
      <c r="O46" s="34">
        <f t="shared" si="4"/>
        <v>13393.8</v>
      </c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>
        <v>0</v>
      </c>
      <c r="AA46" s="34">
        <f>SUM(P46:Z46)</f>
        <v>0</v>
      </c>
      <c r="AB46" s="87">
        <v>0</v>
      </c>
      <c r="AC46" s="87">
        <v>0</v>
      </c>
      <c r="AD46" s="87">
        <v>0</v>
      </c>
      <c r="AE46" s="88">
        <v>0</v>
      </c>
      <c r="AF46" s="87">
        <v>0</v>
      </c>
      <c r="AG46" s="87"/>
      <c r="AH46" s="88">
        <v>0</v>
      </c>
      <c r="AI46" s="88"/>
      <c r="AJ46" s="87">
        <v>0</v>
      </c>
      <c r="AK46" s="3">
        <f t="shared" si="9"/>
        <v>0</v>
      </c>
      <c r="AL46" s="88"/>
      <c r="AM46" s="87"/>
      <c r="AN46" s="87"/>
      <c r="AO46" s="87"/>
      <c r="AP46" s="87"/>
      <c r="AQ46" s="87"/>
      <c r="AR46" s="87"/>
      <c r="AS46" s="87"/>
      <c r="AT46" s="87"/>
      <c r="AU46" s="3">
        <f t="shared" si="10"/>
        <v>0</v>
      </c>
      <c r="AV46" s="109"/>
      <c r="AW46" s="109"/>
      <c r="AX46" s="96">
        <v>0</v>
      </c>
      <c r="AY46" s="98">
        <v>0</v>
      </c>
      <c r="AZ46" s="177">
        <v>11970</v>
      </c>
      <c r="BA46" s="176">
        <v>0</v>
      </c>
      <c r="BB46" s="3">
        <f t="shared" si="5"/>
        <v>11970</v>
      </c>
      <c r="BC46" s="35"/>
      <c r="BD46" s="35"/>
      <c r="BE46" s="73">
        <v>24132.720000000001</v>
      </c>
      <c r="BF46" s="35"/>
      <c r="BG46" s="35"/>
      <c r="BH46" s="73">
        <f>8752.46-4126.16</f>
        <v>4626.2999999999993</v>
      </c>
      <c r="BI46" s="73"/>
      <c r="BJ46" s="35"/>
      <c r="BL46">
        <f>+D46*5%</f>
        <v>3250.9152000000004</v>
      </c>
      <c r="BM46" s="91">
        <f>+BL46+D46</f>
        <v>68269.219200000007</v>
      </c>
      <c r="BN46" s="157" t="s">
        <v>12</v>
      </c>
      <c r="BO46" t="s">
        <v>12</v>
      </c>
      <c r="BP46" s="30" t="s">
        <v>12</v>
      </c>
      <c r="BU46" t="s">
        <v>12</v>
      </c>
    </row>
    <row r="47" spans="1:73" x14ac:dyDescent="0.25">
      <c r="A47" s="71">
        <f t="shared" si="6"/>
        <v>44</v>
      </c>
      <c r="B47" s="67" t="s">
        <v>22</v>
      </c>
      <c r="C47" s="24">
        <v>27.777100000000001</v>
      </c>
      <c r="D47" s="65">
        <f t="shared" si="11"/>
        <v>57776.368000000002</v>
      </c>
      <c r="E47" s="113">
        <f t="shared" si="3"/>
        <v>80684.45</v>
      </c>
      <c r="F47" s="184">
        <f t="shared" si="7"/>
        <v>22908.081999999995</v>
      </c>
      <c r="G47" s="166"/>
      <c r="H47" s="166"/>
      <c r="I47" s="166"/>
      <c r="J47" s="166">
        <v>6066.5</v>
      </c>
      <c r="K47" s="166">
        <v>4853.2</v>
      </c>
      <c r="L47" s="166">
        <v>6066.5</v>
      </c>
      <c r="M47" s="166"/>
      <c r="N47" s="96">
        <v>0</v>
      </c>
      <c r="O47" s="34">
        <f t="shared" si="4"/>
        <v>16986.2</v>
      </c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>
        <v>0</v>
      </c>
      <c r="AA47" s="34">
        <f>SUM(P47:Z47)</f>
        <v>0</v>
      </c>
      <c r="AB47" s="87">
        <v>0</v>
      </c>
      <c r="AC47" s="87">
        <v>0</v>
      </c>
      <c r="AD47" s="87">
        <v>0</v>
      </c>
      <c r="AE47" s="88">
        <v>0</v>
      </c>
      <c r="AF47" s="87">
        <v>0</v>
      </c>
      <c r="AG47" s="87"/>
      <c r="AH47" s="88">
        <v>0</v>
      </c>
      <c r="AI47" s="88"/>
      <c r="AJ47" s="87">
        <v>0</v>
      </c>
      <c r="AK47" s="3">
        <f t="shared" si="9"/>
        <v>0</v>
      </c>
      <c r="AL47" s="88"/>
      <c r="AM47" s="87"/>
      <c r="AN47" s="87"/>
      <c r="AO47" s="87"/>
      <c r="AP47" s="87"/>
      <c r="AQ47" s="87"/>
      <c r="AR47" s="87">
        <f>+'[4]P 2-Salary '!$J$17</f>
        <v>48532</v>
      </c>
      <c r="AS47" s="87">
        <f>+'[5]P 2-Salary '!$J$17</f>
        <v>9099.75</v>
      </c>
      <c r="AT47" s="87">
        <f>+'[6]P 2-Salary '!$J$18</f>
        <v>6066.5</v>
      </c>
      <c r="AU47" s="3">
        <f t="shared" si="10"/>
        <v>63698.25</v>
      </c>
      <c r="AV47" s="109"/>
      <c r="AW47" s="109"/>
      <c r="AX47" s="96">
        <v>0</v>
      </c>
      <c r="AY47" s="98">
        <v>0</v>
      </c>
      <c r="AZ47" s="176"/>
      <c r="BA47" s="176"/>
      <c r="BB47" s="3">
        <f t="shared" si="5"/>
        <v>0</v>
      </c>
      <c r="BC47" s="35"/>
      <c r="BD47" s="35"/>
      <c r="BE47" s="35"/>
      <c r="BF47" s="35"/>
      <c r="BG47" s="35"/>
      <c r="BH47" s="35"/>
      <c r="BI47" s="73"/>
      <c r="BJ47" s="35"/>
      <c r="BL47">
        <f>+D47*5%</f>
        <v>2888.8184000000001</v>
      </c>
      <c r="BM47" s="91">
        <f>+BL47+D47</f>
        <v>60665.186400000006</v>
      </c>
      <c r="BP47" t="s">
        <v>12</v>
      </c>
      <c r="BU47" t="s">
        <v>12</v>
      </c>
    </row>
    <row r="48" spans="1:73" x14ac:dyDescent="0.25">
      <c r="A48" s="71">
        <f t="shared" si="6"/>
        <v>45</v>
      </c>
      <c r="B48" s="67" t="s">
        <v>25</v>
      </c>
      <c r="C48" s="24">
        <f>68000/2080</f>
        <v>32.692307692307693</v>
      </c>
      <c r="D48" s="65">
        <f t="shared" si="11"/>
        <v>68000</v>
      </c>
      <c r="E48" s="113">
        <f t="shared" si="3"/>
        <v>108888.20000000001</v>
      </c>
      <c r="F48" s="184">
        <f t="shared" si="7"/>
        <v>40888.200000000012</v>
      </c>
      <c r="G48" s="166">
        <v>3570</v>
      </c>
      <c r="H48" s="166">
        <v>1428</v>
      </c>
      <c r="I48" s="166"/>
      <c r="J48" s="166">
        <v>4284</v>
      </c>
      <c r="K48" s="166">
        <v>2142</v>
      </c>
      <c r="L48" s="166">
        <v>3570</v>
      </c>
      <c r="M48" s="166"/>
      <c r="N48" s="96">
        <f>+'[3]PC Admin &amp; Client (Regular)'!$E$19</f>
        <v>2142</v>
      </c>
      <c r="O48" s="34">
        <f t="shared" si="4"/>
        <v>17136</v>
      </c>
      <c r="P48" s="98">
        <v>2856</v>
      </c>
      <c r="Q48" s="98">
        <v>1428</v>
      </c>
      <c r="R48" s="98"/>
      <c r="S48" s="98"/>
      <c r="T48" s="98">
        <v>2142</v>
      </c>
      <c r="U48" s="98">
        <v>1428</v>
      </c>
      <c r="V48" s="98"/>
      <c r="W48" s="98">
        <v>1428</v>
      </c>
      <c r="X48" s="98">
        <v>2142</v>
      </c>
      <c r="Y48" s="98">
        <v>2142</v>
      </c>
      <c r="Z48" s="98">
        <v>2142</v>
      </c>
      <c r="AA48" s="34">
        <f>SUM(P48:Z48)</f>
        <v>15708</v>
      </c>
      <c r="AB48" s="87">
        <v>0</v>
      </c>
      <c r="AC48" s="89">
        <v>4004</v>
      </c>
      <c r="AD48" s="89">
        <v>6673</v>
      </c>
      <c r="AE48" s="89">
        <v>10010</v>
      </c>
      <c r="AF48" s="89">
        <v>2142</v>
      </c>
      <c r="AG48" s="89"/>
      <c r="AH48" s="89">
        <v>5361.54</v>
      </c>
      <c r="AI48" s="89">
        <v>3250</v>
      </c>
      <c r="AJ48" s="89">
        <v>6673</v>
      </c>
      <c r="AK48" s="3">
        <f t="shared" si="9"/>
        <v>38113.54</v>
      </c>
      <c r="AL48" s="88">
        <f>+'[8]P 2-Salary '!$J$21</f>
        <v>1428</v>
      </c>
      <c r="AM48" s="87">
        <f>+'[9]P 2-Salary '!$J$20</f>
        <v>2142</v>
      </c>
      <c r="AN48" s="87">
        <f>+'[7]P 2-Salary '!$J$22</f>
        <v>3570</v>
      </c>
      <c r="AO48" s="87">
        <f>+'[2]P 2-Salary '!$J$18</f>
        <v>7140</v>
      </c>
      <c r="AP48" s="87">
        <f>+'[10]P 2-Salary '!$J$18</f>
        <v>2856</v>
      </c>
      <c r="AQ48" s="87">
        <f>+'[11]P 2-Salary '!$J$18</f>
        <v>2856</v>
      </c>
      <c r="AR48" s="87">
        <f>+'[4]P 2-Salary '!$J$20</f>
        <v>3587</v>
      </c>
      <c r="AS48" s="87">
        <f>+'[5]P 2-Salary '!$J$19</f>
        <v>2856</v>
      </c>
      <c r="AT48" s="87">
        <f>+'[6]P 2-Salary '!$J$20</f>
        <v>5739.2</v>
      </c>
      <c r="AU48" s="3">
        <f t="shared" si="10"/>
        <v>32174.2</v>
      </c>
      <c r="AV48" s="109"/>
      <c r="AW48" s="109"/>
      <c r="AX48" s="96">
        <v>2040</v>
      </c>
      <c r="AY48" s="98">
        <v>1428</v>
      </c>
      <c r="AZ48" s="176">
        <v>2288.46</v>
      </c>
      <c r="BA48" s="176"/>
      <c r="BB48" s="3">
        <f t="shared" si="5"/>
        <v>5756.46</v>
      </c>
      <c r="BC48" s="35"/>
      <c r="BD48" s="35"/>
      <c r="BE48" s="35"/>
      <c r="BF48" s="35"/>
      <c r="BG48" s="35"/>
      <c r="BH48" s="35"/>
      <c r="BI48" s="73"/>
      <c r="BJ48" s="35"/>
      <c r="BL48">
        <f>+D48*5%</f>
        <v>3400</v>
      </c>
      <c r="BM48" s="91">
        <f>+BL48+D48</f>
        <v>71400</v>
      </c>
      <c r="BP48" t="s">
        <v>12</v>
      </c>
    </row>
    <row r="49" spans="1:79" x14ac:dyDescent="0.25">
      <c r="A49" s="71">
        <f t="shared" si="6"/>
        <v>46</v>
      </c>
      <c r="B49" s="67" t="s">
        <v>146</v>
      </c>
      <c r="C49" s="16">
        <v>24.038499999999999</v>
      </c>
      <c r="D49" s="65">
        <f t="shared" si="11"/>
        <v>50000.08</v>
      </c>
      <c r="E49" s="113">
        <f t="shared" si="3"/>
        <v>52500</v>
      </c>
      <c r="F49" s="184">
        <f t="shared" si="7"/>
        <v>2499.9199999999983</v>
      </c>
      <c r="G49" s="166"/>
      <c r="H49" s="166"/>
      <c r="I49" s="166"/>
      <c r="J49" s="166"/>
      <c r="K49" s="166"/>
      <c r="L49" s="166"/>
      <c r="M49" s="166"/>
      <c r="N49" s="96">
        <v>0</v>
      </c>
      <c r="O49" s="34">
        <f t="shared" si="4"/>
        <v>0</v>
      </c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>
        <v>0</v>
      </c>
      <c r="AA49" s="34">
        <f>SUM(P49:Z49)</f>
        <v>0</v>
      </c>
      <c r="AB49" s="87">
        <v>0</v>
      </c>
      <c r="AC49" s="87">
        <v>0</v>
      </c>
      <c r="AD49" s="87">
        <v>0</v>
      </c>
      <c r="AE49" s="89">
        <v>52500</v>
      </c>
      <c r="AF49" s="87">
        <v>0</v>
      </c>
      <c r="AG49" s="87"/>
      <c r="AH49" s="88">
        <v>0</v>
      </c>
      <c r="AI49" s="88"/>
      <c r="AJ49" s="87">
        <v>0</v>
      </c>
      <c r="AK49" s="3">
        <f t="shared" si="9"/>
        <v>52500</v>
      </c>
      <c r="AL49" s="88"/>
      <c r="AM49" s="87"/>
      <c r="AN49" s="87"/>
      <c r="AO49" s="87"/>
      <c r="AP49" s="87"/>
      <c r="AQ49" s="87"/>
      <c r="AR49" s="87"/>
      <c r="AS49" s="87"/>
      <c r="AT49" s="87"/>
      <c r="AU49" s="3">
        <f t="shared" si="10"/>
        <v>0</v>
      </c>
      <c r="AV49" s="109"/>
      <c r="AW49" s="109"/>
      <c r="AX49" s="96">
        <v>0</v>
      </c>
      <c r="AY49" s="98">
        <v>0</v>
      </c>
      <c r="AZ49" s="176"/>
      <c r="BA49" s="176"/>
      <c r="BB49" s="3">
        <f t="shared" si="5"/>
        <v>0</v>
      </c>
      <c r="BC49" s="35"/>
      <c r="BD49" s="35"/>
      <c r="BE49" s="35"/>
      <c r="BF49" s="35"/>
      <c r="BG49" s="35"/>
      <c r="BH49" s="35"/>
      <c r="BI49" s="73"/>
      <c r="BJ49" s="35"/>
      <c r="BL49">
        <f>+D49*5%</f>
        <v>2500.0040000000004</v>
      </c>
      <c r="BM49" s="91">
        <f>+BL49+D49</f>
        <v>52500.084000000003</v>
      </c>
      <c r="BQ49" t="s">
        <v>12</v>
      </c>
    </row>
    <row r="50" spans="1:79" x14ac:dyDescent="0.25">
      <c r="A50" s="71">
        <f t="shared" si="6"/>
        <v>47</v>
      </c>
      <c r="B50" s="67" t="s">
        <v>161</v>
      </c>
      <c r="C50" s="24">
        <v>27.777000000000001</v>
      </c>
      <c r="D50" s="65">
        <f t="shared" si="11"/>
        <v>57776.160000000003</v>
      </c>
      <c r="E50" s="113">
        <f t="shared" si="3"/>
        <v>60665</v>
      </c>
      <c r="F50" s="184">
        <f t="shared" si="7"/>
        <v>2888.8399999999965</v>
      </c>
      <c r="G50" s="166"/>
      <c r="H50" s="166"/>
      <c r="I50" s="166"/>
      <c r="J50" s="166"/>
      <c r="K50" s="166"/>
      <c r="L50" s="166"/>
      <c r="M50" s="166"/>
      <c r="N50" s="96">
        <v>0</v>
      </c>
      <c r="O50" s="34">
        <f t="shared" si="4"/>
        <v>0</v>
      </c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>
        <v>0</v>
      </c>
      <c r="AA50" s="34">
        <f>SUM(P50:Z50)</f>
        <v>0</v>
      </c>
      <c r="AB50" s="87">
        <v>0</v>
      </c>
      <c r="AC50" s="87">
        <v>0</v>
      </c>
      <c r="AD50" s="87">
        <v>0</v>
      </c>
      <c r="AE50" s="89">
        <v>60665</v>
      </c>
      <c r="AF50" s="87">
        <v>0</v>
      </c>
      <c r="AG50" s="87"/>
      <c r="AH50" s="88">
        <v>0</v>
      </c>
      <c r="AI50" s="88"/>
      <c r="AJ50" s="87">
        <v>0</v>
      </c>
      <c r="AK50" s="3">
        <f t="shared" si="9"/>
        <v>60665</v>
      </c>
      <c r="AL50" s="88"/>
      <c r="AM50" s="87"/>
      <c r="AN50" s="87"/>
      <c r="AO50" s="87"/>
      <c r="AP50" s="87"/>
      <c r="AQ50" s="87"/>
      <c r="AR50" s="87"/>
      <c r="AS50" s="87"/>
      <c r="AT50" s="87"/>
      <c r="AU50" s="3">
        <f t="shared" si="10"/>
        <v>0</v>
      </c>
      <c r="AV50" s="109"/>
      <c r="AW50" s="109"/>
      <c r="AX50" s="96">
        <v>0</v>
      </c>
      <c r="AY50" s="98">
        <v>0</v>
      </c>
      <c r="AZ50" s="176"/>
      <c r="BA50" s="176"/>
      <c r="BB50" s="3">
        <f t="shared" si="5"/>
        <v>0</v>
      </c>
      <c r="BC50" s="35"/>
      <c r="BD50" s="35"/>
      <c r="BE50" s="35"/>
      <c r="BF50" s="35"/>
      <c r="BG50" s="35"/>
      <c r="BH50" s="35"/>
      <c r="BI50" s="73"/>
      <c r="BJ50" s="35"/>
      <c r="BL50">
        <f>+D50*5%</f>
        <v>2888.8080000000004</v>
      </c>
      <c r="BM50" s="91">
        <f>+BL50+D50</f>
        <v>60664.968000000001</v>
      </c>
      <c r="BQ50" t="s">
        <v>12</v>
      </c>
      <c r="BS50" t="s">
        <v>12</v>
      </c>
    </row>
    <row r="51" spans="1:79" x14ac:dyDescent="0.25">
      <c r="A51" s="71">
        <f t="shared" si="6"/>
        <v>48</v>
      </c>
      <c r="B51" s="67" t="s">
        <v>126</v>
      </c>
      <c r="C51" s="24">
        <f>57000/2080</f>
        <v>27.403846153846153</v>
      </c>
      <c r="D51" s="65">
        <f t="shared" si="11"/>
        <v>57000</v>
      </c>
      <c r="E51" s="113">
        <f t="shared" si="3"/>
        <v>74812.5</v>
      </c>
      <c r="F51" s="184">
        <f t="shared" si="7"/>
        <v>17812.5</v>
      </c>
      <c r="G51" s="166"/>
      <c r="H51" s="166"/>
      <c r="I51" s="166"/>
      <c r="J51" s="166"/>
      <c r="K51" s="166"/>
      <c r="L51" s="166"/>
      <c r="M51" s="166"/>
      <c r="N51" s="96">
        <v>0</v>
      </c>
      <c r="O51" s="34">
        <f t="shared" si="4"/>
        <v>0</v>
      </c>
      <c r="P51" s="98"/>
      <c r="Q51" s="98"/>
      <c r="R51" s="98"/>
      <c r="S51" s="98"/>
      <c r="T51" s="98">
        <v>14962.5</v>
      </c>
      <c r="U51" s="98"/>
      <c r="V51" s="98"/>
      <c r="W51" s="98"/>
      <c r="X51" s="98"/>
      <c r="Y51" s="98"/>
      <c r="Z51" s="98">
        <v>0</v>
      </c>
      <c r="AA51" s="34">
        <f>SUM(P51:Z51)</f>
        <v>14962.5</v>
      </c>
      <c r="AB51" s="87">
        <v>0</v>
      </c>
      <c r="AC51" s="87">
        <v>0</v>
      </c>
      <c r="AD51" s="89">
        <v>59850</v>
      </c>
      <c r="AE51" s="88">
        <v>0</v>
      </c>
      <c r="AF51" s="87">
        <v>0</v>
      </c>
      <c r="AG51" s="87"/>
      <c r="AH51" s="88">
        <v>0</v>
      </c>
      <c r="AI51" s="88"/>
      <c r="AJ51" s="87">
        <v>0</v>
      </c>
      <c r="AK51" s="3">
        <f t="shared" si="9"/>
        <v>59850</v>
      </c>
      <c r="AL51" s="88"/>
      <c r="AM51" s="87"/>
      <c r="AN51" s="87"/>
      <c r="AO51" s="87"/>
      <c r="AP51" s="87"/>
      <c r="AQ51" s="87"/>
      <c r="AR51" s="116"/>
      <c r="AS51" s="87"/>
      <c r="AT51" s="87"/>
      <c r="AU51" s="3">
        <f t="shared" si="10"/>
        <v>0</v>
      </c>
      <c r="AV51" s="109"/>
      <c r="AW51" s="130">
        <v>0</v>
      </c>
      <c r="AX51" s="96">
        <v>0</v>
      </c>
      <c r="AY51" s="98">
        <v>0</v>
      </c>
      <c r="AZ51" s="176"/>
      <c r="BA51" s="176"/>
      <c r="BB51" s="3">
        <f t="shared" si="5"/>
        <v>0</v>
      </c>
      <c r="BC51" s="35"/>
      <c r="BD51" s="35"/>
      <c r="BE51" s="35"/>
      <c r="BF51" s="35"/>
      <c r="BG51" s="35"/>
      <c r="BH51" s="35"/>
      <c r="BI51" s="73"/>
      <c r="BJ51" s="35"/>
      <c r="BL51">
        <f>+D51*5%</f>
        <v>2850</v>
      </c>
      <c r="BM51" s="91">
        <f>+BL51+D51</f>
        <v>59850</v>
      </c>
      <c r="BQ51" t="s">
        <v>12</v>
      </c>
      <c r="BS51" s="92" t="s">
        <v>12</v>
      </c>
      <c r="BT51" s="92" t="s">
        <v>12</v>
      </c>
      <c r="BU51" s="92" t="s">
        <v>12</v>
      </c>
      <c r="BV51" s="92" t="s">
        <v>12</v>
      </c>
      <c r="BW51" t="s">
        <v>12</v>
      </c>
      <c r="BX51" t="s">
        <v>12</v>
      </c>
      <c r="BY51" t="s">
        <v>12</v>
      </c>
      <c r="BZ51" t="s">
        <v>12</v>
      </c>
      <c r="CA51" t="s">
        <v>12</v>
      </c>
    </row>
    <row r="52" spans="1:79" x14ac:dyDescent="0.25">
      <c r="A52" s="71">
        <f t="shared" si="6"/>
        <v>49</v>
      </c>
      <c r="B52" s="132" t="s">
        <v>139</v>
      </c>
      <c r="C52" s="24">
        <v>24.038499999999999</v>
      </c>
      <c r="D52" s="65">
        <f>+C52*904</f>
        <v>21730.804</v>
      </c>
      <c r="E52" s="113">
        <f t="shared" si="3"/>
        <v>23846.19</v>
      </c>
      <c r="F52" s="184">
        <f t="shared" si="7"/>
        <v>2115.3859999999986</v>
      </c>
      <c r="G52" s="166"/>
      <c r="H52" s="166"/>
      <c r="I52" s="166"/>
      <c r="J52" s="166"/>
      <c r="K52" s="166"/>
      <c r="L52" s="166"/>
      <c r="M52" s="166"/>
      <c r="N52" s="96">
        <v>0</v>
      </c>
      <c r="O52" s="34">
        <f t="shared" si="4"/>
        <v>0</v>
      </c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>
        <v>0</v>
      </c>
      <c r="AA52" s="34">
        <f>SUM(P52:Z52)</f>
        <v>0</v>
      </c>
      <c r="AB52" s="87"/>
      <c r="AC52" s="87"/>
      <c r="AD52" s="87"/>
      <c r="AE52" s="89"/>
      <c r="AF52" s="87"/>
      <c r="AG52" s="87"/>
      <c r="AH52" s="88"/>
      <c r="AI52" s="88"/>
      <c r="AJ52" s="87"/>
      <c r="AK52" s="3">
        <f t="shared" ref="AK52:AK88" si="12">SUM(AB52:AJ52)</f>
        <v>0</v>
      </c>
      <c r="AL52" s="88"/>
      <c r="AM52" s="87"/>
      <c r="AN52" s="87"/>
      <c r="AO52" s="87"/>
      <c r="AP52" s="87"/>
      <c r="AQ52" s="87"/>
      <c r="AR52" s="87"/>
      <c r="AS52" s="87"/>
      <c r="AT52" s="87"/>
      <c r="AU52" s="3"/>
      <c r="AV52" s="109"/>
      <c r="AW52" s="109"/>
      <c r="AX52" s="96">
        <v>0</v>
      </c>
      <c r="AY52" s="98">
        <v>0</v>
      </c>
      <c r="AZ52" s="177">
        <v>23846.19</v>
      </c>
      <c r="BA52" s="176"/>
      <c r="BB52" s="3">
        <f t="shared" si="5"/>
        <v>23846.19</v>
      </c>
      <c r="BC52" s="35"/>
      <c r="BD52" s="35"/>
      <c r="BE52" s="35"/>
      <c r="BF52" s="35"/>
      <c r="BG52" s="35"/>
      <c r="BH52" s="35"/>
      <c r="BI52" s="73"/>
      <c r="BJ52" s="35"/>
      <c r="BL52">
        <f>+D52*5%</f>
        <v>1086.5402000000001</v>
      </c>
      <c r="BM52" s="91">
        <f>+BL52+D52</f>
        <v>22817.3442</v>
      </c>
      <c r="BP52" t="s">
        <v>12</v>
      </c>
      <c r="BQ52" t="s">
        <v>12</v>
      </c>
      <c r="BS52" s="86" t="s">
        <v>12</v>
      </c>
      <c r="BT52" s="86" t="s">
        <v>12</v>
      </c>
      <c r="BU52" s="86" t="s">
        <v>12</v>
      </c>
      <c r="BV52" s="86" t="s">
        <v>12</v>
      </c>
      <c r="BW52" s="86" t="s">
        <v>12</v>
      </c>
    </row>
    <row r="53" spans="1:79" x14ac:dyDescent="0.25">
      <c r="A53" s="71">
        <f t="shared" si="6"/>
        <v>50</v>
      </c>
      <c r="B53" s="67" t="s">
        <v>157</v>
      </c>
      <c r="C53" s="119">
        <f>65000/2080</f>
        <v>31.25</v>
      </c>
      <c r="D53" s="65">
        <f t="shared" ref="D53:D72" si="13">+C53*2080</f>
        <v>65000</v>
      </c>
      <c r="E53" s="113">
        <f t="shared" si="3"/>
        <v>68354.570000000007</v>
      </c>
      <c r="F53" s="184">
        <f t="shared" si="7"/>
        <v>3354.570000000007</v>
      </c>
      <c r="G53" s="166"/>
      <c r="H53" s="166"/>
      <c r="I53" s="166"/>
      <c r="J53" s="166"/>
      <c r="K53" s="166"/>
      <c r="L53" s="166"/>
      <c r="M53" s="166"/>
      <c r="N53" s="96">
        <v>0</v>
      </c>
      <c r="O53" s="34">
        <f t="shared" si="4"/>
        <v>0</v>
      </c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>
        <v>0</v>
      </c>
      <c r="AA53" s="34">
        <f>SUM(P53:Z53)</f>
        <v>0</v>
      </c>
      <c r="AB53" s="87"/>
      <c r="AC53" s="87"/>
      <c r="AD53" s="87"/>
      <c r="AE53" s="88"/>
      <c r="AF53" s="87"/>
      <c r="AG53" s="87"/>
      <c r="AH53" s="88"/>
      <c r="AI53" s="88"/>
      <c r="AJ53" s="87"/>
      <c r="AK53" s="3">
        <f>SUM(AB53:AJ53)</f>
        <v>0</v>
      </c>
      <c r="AL53" s="88"/>
      <c r="AM53" s="87">
        <f>+'[9]P 2-Salary '!$J$21+600</f>
        <v>7425</v>
      </c>
      <c r="AN53" s="87">
        <v>0</v>
      </c>
      <c r="AO53" s="87">
        <f>+'[2]P 2-Salary '!$J$20</f>
        <v>54600</v>
      </c>
      <c r="AP53" s="87"/>
      <c r="AQ53" s="87"/>
      <c r="AR53" s="87"/>
      <c r="AS53" s="87"/>
      <c r="AT53" s="87"/>
      <c r="AU53" s="3">
        <f t="shared" ref="AU53:AU93" si="14">SUM(AL53:AT53)</f>
        <v>62025</v>
      </c>
      <c r="AV53" s="109"/>
      <c r="AW53" s="130">
        <v>6329.57</v>
      </c>
      <c r="AX53" s="96">
        <v>0</v>
      </c>
      <c r="AY53" s="98">
        <v>0</v>
      </c>
      <c r="AZ53" s="176"/>
      <c r="BA53" s="176">
        <v>0</v>
      </c>
      <c r="BB53" s="3">
        <f t="shared" si="5"/>
        <v>0</v>
      </c>
      <c r="BC53" s="73">
        <v>0</v>
      </c>
      <c r="BD53" s="35"/>
      <c r="BE53" s="35"/>
      <c r="BF53" s="35"/>
      <c r="BG53" s="35"/>
      <c r="BH53" s="35"/>
      <c r="BI53" s="73"/>
      <c r="BJ53" s="35"/>
      <c r="BL53">
        <f>+D53*5%</f>
        <v>3250</v>
      </c>
      <c r="BM53" s="91">
        <f>+BL53+D53</f>
        <v>68250</v>
      </c>
      <c r="BQ53" t="s">
        <v>12</v>
      </c>
      <c r="BS53" s="86"/>
      <c r="BT53" s="86"/>
      <c r="BU53" s="86"/>
      <c r="BV53" s="86"/>
      <c r="BW53" s="86" t="s">
        <v>12</v>
      </c>
      <c r="CA53" s="30" t="s">
        <v>12</v>
      </c>
    </row>
    <row r="54" spans="1:79" x14ac:dyDescent="0.25">
      <c r="A54" s="71">
        <f t="shared" si="6"/>
        <v>51</v>
      </c>
      <c r="B54" s="67" t="s">
        <v>119</v>
      </c>
      <c r="C54" s="24">
        <f>55000/2080</f>
        <v>26.442307692307693</v>
      </c>
      <c r="D54" s="65">
        <f t="shared" si="13"/>
        <v>55000</v>
      </c>
      <c r="E54" s="113">
        <f t="shared" si="3"/>
        <v>62730.78</v>
      </c>
      <c r="F54" s="184">
        <f t="shared" si="7"/>
        <v>7730.7799999999988</v>
      </c>
      <c r="G54" s="166"/>
      <c r="H54" s="166"/>
      <c r="I54" s="166"/>
      <c r="J54" s="166"/>
      <c r="K54" s="166"/>
      <c r="L54" s="166"/>
      <c r="M54" s="166"/>
      <c r="N54" s="96">
        <v>0</v>
      </c>
      <c r="O54" s="34">
        <f t="shared" si="4"/>
        <v>0</v>
      </c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>
        <v>0</v>
      </c>
      <c r="AA54" s="34">
        <f>SUM(P54:Z54)</f>
        <v>0</v>
      </c>
      <c r="AB54" s="87"/>
      <c r="AC54" s="87"/>
      <c r="AD54" s="87"/>
      <c r="AE54" s="88"/>
      <c r="AF54" s="87"/>
      <c r="AG54" s="87"/>
      <c r="AH54" s="88"/>
      <c r="AI54" s="88"/>
      <c r="AJ54" s="87"/>
      <c r="AK54" s="3">
        <f t="shared" si="12"/>
        <v>0</v>
      </c>
      <c r="AL54" s="88"/>
      <c r="AM54" s="87"/>
      <c r="AN54" s="87"/>
      <c r="AO54" s="87">
        <f>+'[2]P 2-Salary '!$J$22</f>
        <v>57750</v>
      </c>
      <c r="AP54" s="87"/>
      <c r="AQ54" s="87"/>
      <c r="AR54" s="87"/>
      <c r="AS54" s="87"/>
      <c r="AT54" s="87"/>
      <c r="AU54" s="3">
        <f t="shared" si="14"/>
        <v>57750</v>
      </c>
      <c r="AV54" s="109"/>
      <c r="AW54" s="130">
        <v>4980.78</v>
      </c>
      <c r="AX54" s="96">
        <v>0</v>
      </c>
      <c r="AY54" s="98">
        <v>0</v>
      </c>
      <c r="AZ54" s="176"/>
      <c r="BA54" s="176">
        <v>0</v>
      </c>
      <c r="BB54" s="3">
        <f t="shared" si="5"/>
        <v>0</v>
      </c>
      <c r="BC54" s="35"/>
      <c r="BD54" s="35"/>
      <c r="BE54" s="35"/>
      <c r="BF54" s="35"/>
      <c r="BG54" s="35"/>
      <c r="BH54" s="35"/>
      <c r="BI54" s="73"/>
      <c r="BJ54" s="35"/>
      <c r="BL54">
        <f>+D54*5%</f>
        <v>2750</v>
      </c>
      <c r="BM54" s="91">
        <f>+BL54+D54</f>
        <v>57750</v>
      </c>
      <c r="BS54" s="86"/>
      <c r="BT54" s="86"/>
      <c r="BU54" s="86"/>
      <c r="BV54" s="86"/>
      <c r="BW54" s="86"/>
      <c r="CA54" t="s">
        <v>12</v>
      </c>
    </row>
    <row r="55" spans="1:79" x14ac:dyDescent="0.25">
      <c r="A55" s="71">
        <f t="shared" si="6"/>
        <v>52</v>
      </c>
      <c r="B55" s="67" t="s">
        <v>88</v>
      </c>
      <c r="C55" s="119">
        <v>24.038499999999999</v>
      </c>
      <c r="D55" s="65">
        <f t="shared" si="13"/>
        <v>50000.08</v>
      </c>
      <c r="E55" s="113">
        <f t="shared" si="3"/>
        <v>52500</v>
      </c>
      <c r="F55" s="184">
        <f t="shared" si="7"/>
        <v>2499.9199999999983</v>
      </c>
      <c r="G55" s="166"/>
      <c r="H55" s="166"/>
      <c r="I55" s="166"/>
      <c r="J55" s="166"/>
      <c r="K55" s="166"/>
      <c r="L55" s="166"/>
      <c r="M55" s="166"/>
      <c r="N55" s="96">
        <v>0</v>
      </c>
      <c r="O55" s="34">
        <f t="shared" si="4"/>
        <v>0</v>
      </c>
      <c r="P55" s="98">
        <v>21000</v>
      </c>
      <c r="Q55" s="98"/>
      <c r="R55" s="98"/>
      <c r="S55" s="98"/>
      <c r="T55" s="98"/>
      <c r="U55" s="98"/>
      <c r="V55" s="98"/>
      <c r="W55" s="98"/>
      <c r="X55" s="98"/>
      <c r="Y55" s="98"/>
      <c r="Z55" s="98">
        <v>31500</v>
      </c>
      <c r="AA55" s="34">
        <f>SUM(P55:Z55)</f>
        <v>52500</v>
      </c>
      <c r="AB55" s="87">
        <v>0</v>
      </c>
      <c r="AC55" s="87">
        <v>0</v>
      </c>
      <c r="AD55" s="87">
        <v>0</v>
      </c>
      <c r="AE55" s="88">
        <v>0</v>
      </c>
      <c r="AF55" s="87">
        <v>0</v>
      </c>
      <c r="AG55" s="87"/>
      <c r="AH55" s="88">
        <v>0</v>
      </c>
      <c r="AI55" s="88"/>
      <c r="AJ55" s="87">
        <v>0</v>
      </c>
      <c r="AK55" s="3">
        <f t="shared" si="12"/>
        <v>0</v>
      </c>
      <c r="AL55" s="88"/>
      <c r="AM55" s="87"/>
      <c r="AN55" s="87"/>
      <c r="AO55" s="87"/>
      <c r="AP55" s="87"/>
      <c r="AQ55" s="87"/>
      <c r="AR55" s="87"/>
      <c r="AS55" s="87"/>
      <c r="AT55" s="87"/>
      <c r="AU55" s="3">
        <f t="shared" si="14"/>
        <v>0</v>
      </c>
      <c r="AV55" s="109"/>
      <c r="AW55" s="109"/>
      <c r="AX55" s="96">
        <v>0</v>
      </c>
      <c r="AY55" s="98">
        <v>0</v>
      </c>
      <c r="AZ55" s="176"/>
      <c r="BA55" s="176"/>
      <c r="BB55" s="3">
        <f t="shared" si="5"/>
        <v>0</v>
      </c>
      <c r="BC55" s="35"/>
      <c r="BD55" s="35"/>
      <c r="BE55" s="35"/>
      <c r="BF55" s="35"/>
      <c r="BG55" s="35"/>
      <c r="BH55" s="35"/>
      <c r="BI55" s="73">
        <v>0</v>
      </c>
      <c r="BJ55" s="35"/>
      <c r="BL55">
        <f>+D55*5%</f>
        <v>2500.0040000000004</v>
      </c>
      <c r="BM55" s="91">
        <f>+BL55+D55</f>
        <v>52500.084000000003</v>
      </c>
      <c r="BS55" s="86"/>
      <c r="BT55" s="86"/>
      <c r="BU55" s="86"/>
      <c r="BV55" s="86"/>
      <c r="BW55" s="86"/>
      <c r="CA55" s="30" t="s">
        <v>12</v>
      </c>
    </row>
    <row r="56" spans="1:79" x14ac:dyDescent="0.25">
      <c r="A56" s="71">
        <f t="shared" si="6"/>
        <v>53</v>
      </c>
      <c r="B56" s="67" t="s">
        <v>137</v>
      </c>
      <c r="C56" s="24">
        <v>30.7212</v>
      </c>
      <c r="D56" s="65">
        <f t="shared" si="13"/>
        <v>63900.095999999998</v>
      </c>
      <c r="E56" s="113">
        <f t="shared" si="3"/>
        <v>67319.98000000001</v>
      </c>
      <c r="F56" s="184">
        <f t="shared" si="7"/>
        <v>3419.8840000000127</v>
      </c>
      <c r="G56" s="166"/>
      <c r="H56" s="166"/>
      <c r="I56" s="166"/>
      <c r="J56" s="166"/>
      <c r="K56" s="166"/>
      <c r="L56" s="166"/>
      <c r="M56" s="166"/>
      <c r="N56" s="96">
        <v>0</v>
      </c>
      <c r="O56" s="34">
        <f t="shared" si="4"/>
        <v>0</v>
      </c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>
        <v>0</v>
      </c>
      <c r="AA56" s="34">
        <f>SUM(P56:Z56)</f>
        <v>0</v>
      </c>
      <c r="AB56" s="87">
        <v>0</v>
      </c>
      <c r="AC56" s="87">
        <v>0</v>
      </c>
      <c r="AD56" s="87">
        <v>0</v>
      </c>
      <c r="AE56" s="88">
        <v>0</v>
      </c>
      <c r="AF56" s="87">
        <v>0</v>
      </c>
      <c r="AG56" s="87"/>
      <c r="AH56" s="88">
        <v>0</v>
      </c>
      <c r="AI56" s="88"/>
      <c r="AJ56" s="87">
        <v>0</v>
      </c>
      <c r="AK56" s="3">
        <f t="shared" si="12"/>
        <v>0</v>
      </c>
      <c r="AL56" s="88">
        <f>+'[8]P 2-Salary '!$J$17+3000+1000</f>
        <v>66398.350000000006</v>
      </c>
      <c r="AM56" s="87"/>
      <c r="AN56" s="87"/>
      <c r="AO56" s="87"/>
      <c r="AP56" s="87"/>
      <c r="AQ56" s="87"/>
      <c r="AR56" s="87"/>
      <c r="AS56" s="87"/>
      <c r="AT56" s="87"/>
      <c r="AU56" s="3">
        <f t="shared" si="14"/>
        <v>66398.350000000006</v>
      </c>
      <c r="AV56" s="109"/>
      <c r="AW56" s="109"/>
      <c r="AX56" s="96">
        <v>0</v>
      </c>
      <c r="AY56" s="98">
        <v>0</v>
      </c>
      <c r="AZ56" s="176"/>
      <c r="BA56" s="176"/>
      <c r="BB56" s="3">
        <f t="shared" si="5"/>
        <v>0</v>
      </c>
      <c r="BC56" s="73">
        <v>921.63</v>
      </c>
      <c r="BD56" s="35"/>
      <c r="BE56" s="35"/>
      <c r="BF56" s="35"/>
      <c r="BG56" s="35"/>
      <c r="BH56" s="35"/>
      <c r="BI56" s="73"/>
      <c r="BJ56" s="35"/>
      <c r="BL56">
        <f>+D56*5%</f>
        <v>3195.0048000000002</v>
      </c>
      <c r="BM56" s="91">
        <f>+BL56+D56</f>
        <v>67095.1008</v>
      </c>
      <c r="BS56" s="86"/>
      <c r="BT56" s="86"/>
      <c r="BU56" s="86"/>
      <c r="BV56" s="86"/>
    </row>
    <row r="57" spans="1:79" x14ac:dyDescent="0.25">
      <c r="A57" s="71">
        <f t="shared" si="6"/>
        <v>54</v>
      </c>
      <c r="B57" s="67" t="s">
        <v>69</v>
      </c>
      <c r="C57" s="119">
        <v>25.600999999999999</v>
      </c>
      <c r="D57" s="65">
        <f t="shared" si="13"/>
        <v>53250.080000000002</v>
      </c>
      <c r="E57" s="113">
        <f t="shared" si="3"/>
        <v>55913</v>
      </c>
      <c r="F57" s="184">
        <f t="shared" si="7"/>
        <v>2662.9199999999983</v>
      </c>
      <c r="G57" s="166"/>
      <c r="H57" s="166"/>
      <c r="I57" s="166"/>
      <c r="J57" s="166"/>
      <c r="K57" s="166"/>
      <c r="L57" s="166"/>
      <c r="M57" s="166"/>
      <c r="N57" s="96">
        <v>0</v>
      </c>
      <c r="O57" s="34">
        <f t="shared" si="4"/>
        <v>0</v>
      </c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>
        <v>0</v>
      </c>
      <c r="AA57" s="34">
        <f>SUM(P57:Z57)</f>
        <v>0</v>
      </c>
      <c r="AB57" s="87">
        <v>0</v>
      </c>
      <c r="AC57" s="87">
        <v>0</v>
      </c>
      <c r="AD57" s="89">
        <v>55913</v>
      </c>
      <c r="AE57" s="88">
        <v>0</v>
      </c>
      <c r="AF57" s="87">
        <v>0</v>
      </c>
      <c r="AG57" s="87"/>
      <c r="AH57" s="88">
        <v>0</v>
      </c>
      <c r="AI57" s="88"/>
      <c r="AJ57" s="87">
        <v>0</v>
      </c>
      <c r="AK57" s="3">
        <f t="shared" si="12"/>
        <v>55913</v>
      </c>
      <c r="AL57" s="88"/>
      <c r="AM57" s="87"/>
      <c r="AN57" s="87"/>
      <c r="AO57" s="87"/>
      <c r="AP57" s="87"/>
      <c r="AQ57" s="87"/>
      <c r="AR57" s="87"/>
      <c r="AS57" s="87"/>
      <c r="AT57" s="87"/>
      <c r="AU57" s="3">
        <f t="shared" si="14"/>
        <v>0</v>
      </c>
      <c r="AV57" s="109"/>
      <c r="AW57" s="109"/>
      <c r="AX57" s="96">
        <v>0</v>
      </c>
      <c r="AY57" s="98">
        <v>0</v>
      </c>
      <c r="AZ57" s="176"/>
      <c r="BA57" s="176"/>
      <c r="BB57" s="3">
        <f t="shared" si="5"/>
        <v>0</v>
      </c>
      <c r="BC57" s="35"/>
      <c r="BD57" s="35"/>
      <c r="BE57" s="35"/>
      <c r="BF57" s="35"/>
      <c r="BG57" s="35"/>
      <c r="BH57" s="35"/>
      <c r="BI57" s="73"/>
      <c r="BJ57" s="35"/>
      <c r="BL57">
        <f>+D57*5%</f>
        <v>2662.5040000000004</v>
      </c>
      <c r="BM57" s="91">
        <f>+BL57+D57</f>
        <v>55912.584000000003</v>
      </c>
    </row>
    <row r="58" spans="1:79" x14ac:dyDescent="0.25">
      <c r="A58" s="71">
        <f t="shared" si="6"/>
        <v>55</v>
      </c>
      <c r="B58" s="67" t="s">
        <v>101</v>
      </c>
      <c r="C58" s="119">
        <v>24.038499999999999</v>
      </c>
      <c r="D58" s="65">
        <f t="shared" si="13"/>
        <v>50000.08</v>
      </c>
      <c r="E58" s="113">
        <f t="shared" si="3"/>
        <v>55788.47</v>
      </c>
      <c r="F58" s="184">
        <f t="shared" si="7"/>
        <v>5788.3899999999994</v>
      </c>
      <c r="G58" s="166"/>
      <c r="H58" s="166"/>
      <c r="I58" s="166"/>
      <c r="J58" s="166"/>
      <c r="K58" s="166"/>
      <c r="L58" s="166"/>
      <c r="M58" s="166"/>
      <c r="N58" s="96">
        <v>0</v>
      </c>
      <c r="O58" s="34">
        <f t="shared" si="4"/>
        <v>0</v>
      </c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>
        <v>0</v>
      </c>
      <c r="AA58" s="34">
        <f>SUM(P58:Z58)</f>
        <v>0</v>
      </c>
      <c r="AB58" s="87">
        <v>0</v>
      </c>
      <c r="AC58" s="87">
        <v>0</v>
      </c>
      <c r="AD58" s="87">
        <v>0</v>
      </c>
      <c r="AE58" s="88">
        <v>0</v>
      </c>
      <c r="AF58" s="87">
        <v>0</v>
      </c>
      <c r="AG58" s="87"/>
      <c r="AH58" s="88">
        <v>0</v>
      </c>
      <c r="AI58" s="88"/>
      <c r="AJ58" s="87">
        <v>0</v>
      </c>
      <c r="AK58" s="3">
        <f t="shared" si="12"/>
        <v>0</v>
      </c>
      <c r="AL58" s="88"/>
      <c r="AM58" s="87"/>
      <c r="AN58" s="87"/>
      <c r="AO58" s="87">
        <f>+'[2]P 2-Salary '!$J$29</f>
        <v>52500</v>
      </c>
      <c r="AP58" s="87"/>
      <c r="AQ58" s="87"/>
      <c r="AR58" s="87"/>
      <c r="AS58" s="87"/>
      <c r="AT58" s="87"/>
      <c r="AU58" s="3">
        <f t="shared" si="14"/>
        <v>52500</v>
      </c>
      <c r="AV58" s="109"/>
      <c r="AW58" s="130">
        <v>3288.47</v>
      </c>
      <c r="AX58" s="96">
        <v>0</v>
      </c>
      <c r="AY58" s="98">
        <v>0</v>
      </c>
      <c r="AZ58" s="176"/>
      <c r="BA58" s="176">
        <v>0</v>
      </c>
      <c r="BB58" s="3">
        <f t="shared" si="5"/>
        <v>0</v>
      </c>
      <c r="BC58" s="35"/>
      <c r="BD58" s="35"/>
      <c r="BE58" s="35"/>
      <c r="BF58" s="35"/>
      <c r="BG58" s="35"/>
      <c r="BH58" s="35"/>
      <c r="BI58" s="73"/>
      <c r="BJ58" s="35"/>
      <c r="BL58">
        <f>+D58*5%</f>
        <v>2500.0040000000004</v>
      </c>
      <c r="BM58" s="91">
        <f>+BL58+D58</f>
        <v>52500.084000000003</v>
      </c>
    </row>
    <row r="59" spans="1:79" x14ac:dyDescent="0.25">
      <c r="A59" s="71">
        <f t="shared" si="6"/>
        <v>56</v>
      </c>
      <c r="B59" s="67" t="s">
        <v>158</v>
      </c>
      <c r="C59" s="119">
        <v>25.600999999999999</v>
      </c>
      <c r="D59" s="65">
        <f t="shared" si="13"/>
        <v>53250.080000000002</v>
      </c>
      <c r="E59" s="113">
        <f t="shared" si="3"/>
        <v>55912.58</v>
      </c>
      <c r="F59" s="184">
        <f t="shared" si="7"/>
        <v>2662.5</v>
      </c>
      <c r="G59" s="166"/>
      <c r="H59" s="166"/>
      <c r="I59" s="166"/>
      <c r="J59" s="166"/>
      <c r="K59" s="166"/>
      <c r="L59" s="166"/>
      <c r="M59" s="166"/>
      <c r="N59" s="96">
        <v>0</v>
      </c>
      <c r="O59" s="34">
        <f t="shared" si="4"/>
        <v>0</v>
      </c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>
        <v>0</v>
      </c>
      <c r="AA59" s="34">
        <f>SUM(P59:Z59)</f>
        <v>0</v>
      </c>
      <c r="AB59" s="87">
        <v>0</v>
      </c>
      <c r="AC59" s="87">
        <v>0</v>
      </c>
      <c r="AD59" s="87">
        <v>0</v>
      </c>
      <c r="AE59" s="88">
        <v>0</v>
      </c>
      <c r="AF59" s="87">
        <v>0</v>
      </c>
      <c r="AG59" s="87"/>
      <c r="AH59" s="88">
        <v>0</v>
      </c>
      <c r="AI59" s="88"/>
      <c r="AJ59" s="87">
        <v>0</v>
      </c>
      <c r="AK59" s="3">
        <f t="shared" si="12"/>
        <v>0</v>
      </c>
      <c r="AL59" s="88"/>
      <c r="AM59" s="87"/>
      <c r="AN59" s="87">
        <f>+'[7]P 2-Salary '!$J$19</f>
        <v>27956.29</v>
      </c>
      <c r="AO59" s="87">
        <f>+'[2]P 2-Salary '!$J$23</f>
        <v>27956.29</v>
      </c>
      <c r="AP59" s="87"/>
      <c r="AQ59" s="87"/>
      <c r="AR59" s="87"/>
      <c r="AS59" s="87"/>
      <c r="AT59" s="87"/>
      <c r="AU59" s="3">
        <f t="shared" si="14"/>
        <v>55912.58</v>
      </c>
      <c r="AV59" s="109"/>
      <c r="AW59" s="109"/>
      <c r="AX59" s="96">
        <v>0</v>
      </c>
      <c r="AY59" s="98">
        <v>0</v>
      </c>
      <c r="AZ59" s="176"/>
      <c r="BA59" s="176"/>
      <c r="BB59" s="3">
        <f t="shared" si="5"/>
        <v>0</v>
      </c>
      <c r="BC59" s="35"/>
      <c r="BD59" s="35"/>
      <c r="BE59" s="35"/>
      <c r="BF59" s="35"/>
      <c r="BG59" s="35"/>
      <c r="BH59" s="35"/>
      <c r="BI59" s="73"/>
      <c r="BJ59" s="35"/>
      <c r="BL59">
        <f>+D59*5%</f>
        <v>2662.5040000000004</v>
      </c>
      <c r="BM59" s="91">
        <f>+BL59+D59</f>
        <v>55912.584000000003</v>
      </c>
    </row>
    <row r="60" spans="1:79" x14ac:dyDescent="0.25">
      <c r="A60" s="71">
        <f t="shared" si="6"/>
        <v>57</v>
      </c>
      <c r="B60" s="95" t="s">
        <v>188</v>
      </c>
      <c r="C60" s="24">
        <v>33.281300000000002</v>
      </c>
      <c r="D60" s="65">
        <f t="shared" si="13"/>
        <v>69225.104000000007</v>
      </c>
      <c r="E60" s="113">
        <f t="shared" si="3"/>
        <v>72666</v>
      </c>
      <c r="F60" s="184">
        <f t="shared" si="7"/>
        <v>3440.8959999999934</v>
      </c>
      <c r="G60" s="166"/>
      <c r="H60" s="166"/>
      <c r="I60" s="166"/>
      <c r="J60" s="166"/>
      <c r="K60" s="166"/>
      <c r="L60" s="166"/>
      <c r="M60" s="166"/>
      <c r="N60" s="96">
        <v>0</v>
      </c>
      <c r="O60" s="34">
        <f t="shared" si="4"/>
        <v>0</v>
      </c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>
        <v>0</v>
      </c>
      <c r="AA60" s="34">
        <f>SUM(P60:Z60)</f>
        <v>0</v>
      </c>
      <c r="AB60" s="87">
        <v>0</v>
      </c>
      <c r="AC60" s="87">
        <v>0</v>
      </c>
      <c r="AD60" s="87">
        <v>0</v>
      </c>
      <c r="AE60" s="112">
        <v>72666</v>
      </c>
      <c r="AF60" s="87">
        <v>0</v>
      </c>
      <c r="AG60" s="87"/>
      <c r="AH60" s="88">
        <v>0</v>
      </c>
      <c r="AI60" s="88"/>
      <c r="AJ60" s="87">
        <v>0</v>
      </c>
      <c r="AK60" s="3">
        <f t="shared" si="12"/>
        <v>72666</v>
      </c>
      <c r="AL60" s="88"/>
      <c r="AM60" s="87"/>
      <c r="AN60" s="87"/>
      <c r="AO60" s="87"/>
      <c r="AP60" s="87"/>
      <c r="AQ60" s="116"/>
      <c r="AR60" s="87"/>
      <c r="AS60" s="87"/>
      <c r="AT60" s="87"/>
      <c r="AU60" s="3">
        <f t="shared" si="14"/>
        <v>0</v>
      </c>
      <c r="AV60" s="109"/>
      <c r="AW60" s="109"/>
      <c r="AX60" s="96">
        <v>0</v>
      </c>
      <c r="AY60" s="98">
        <v>0</v>
      </c>
      <c r="AZ60" s="176"/>
      <c r="BA60" s="176"/>
      <c r="BB60" s="3">
        <f t="shared" si="5"/>
        <v>0</v>
      </c>
      <c r="BC60" s="35"/>
      <c r="BD60" s="35"/>
      <c r="BE60" s="35"/>
      <c r="BF60" s="35"/>
      <c r="BG60" s="35"/>
      <c r="BH60" s="35"/>
      <c r="BI60" s="73"/>
      <c r="BJ60" s="35"/>
      <c r="BL60">
        <f>+D60*5%</f>
        <v>3461.2552000000005</v>
      </c>
      <c r="BM60" s="91">
        <f>+BL60+D60</f>
        <v>72686.359200000006</v>
      </c>
    </row>
    <row r="61" spans="1:79" x14ac:dyDescent="0.25">
      <c r="A61" s="71">
        <f t="shared" si="6"/>
        <v>58</v>
      </c>
      <c r="B61" s="67" t="s">
        <v>41</v>
      </c>
      <c r="C61" s="24">
        <v>24.038499999999999</v>
      </c>
      <c r="D61" s="65">
        <f t="shared" si="13"/>
        <v>50000.08</v>
      </c>
      <c r="E61" s="113">
        <f t="shared" si="3"/>
        <v>52523.06</v>
      </c>
      <c r="F61" s="184">
        <f t="shared" si="7"/>
        <v>2522.9799999999959</v>
      </c>
      <c r="G61" s="166"/>
      <c r="H61" s="166"/>
      <c r="I61" s="166"/>
      <c r="J61" s="166"/>
      <c r="K61" s="166"/>
      <c r="L61" s="166"/>
      <c r="M61" s="166"/>
      <c r="N61" s="96">
        <v>0</v>
      </c>
      <c r="O61" s="34">
        <f t="shared" si="4"/>
        <v>0</v>
      </c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>
        <v>0</v>
      </c>
      <c r="AA61" s="34">
        <f>SUM(P61:Z61)</f>
        <v>0</v>
      </c>
      <c r="AB61" s="87"/>
      <c r="AC61" s="87">
        <v>0</v>
      </c>
      <c r="AD61" s="87">
        <v>0</v>
      </c>
      <c r="AE61" s="88">
        <v>0</v>
      </c>
      <c r="AF61" s="89">
        <f>5750+1100</f>
        <v>6850</v>
      </c>
      <c r="AG61" s="89">
        <v>0</v>
      </c>
      <c r="AH61" s="88">
        <v>0</v>
      </c>
      <c r="AI61" s="88"/>
      <c r="AJ61" s="87">
        <v>0</v>
      </c>
      <c r="AK61" s="3">
        <f t="shared" si="12"/>
        <v>6850</v>
      </c>
      <c r="AL61" s="88"/>
      <c r="AM61" s="87"/>
      <c r="AN61" s="87"/>
      <c r="AO61" s="87"/>
      <c r="AP61" s="87"/>
      <c r="AQ61" s="87"/>
      <c r="AR61" s="87"/>
      <c r="AS61" s="87"/>
      <c r="AT61" s="87"/>
      <c r="AU61" s="3">
        <f t="shared" si="14"/>
        <v>0</v>
      </c>
      <c r="AV61" s="130">
        <v>45673.06</v>
      </c>
      <c r="AW61" s="109"/>
      <c r="AX61" s="96">
        <v>0</v>
      </c>
      <c r="AY61" s="98">
        <v>0</v>
      </c>
      <c r="AZ61" s="176"/>
      <c r="BA61" s="176"/>
      <c r="BB61" s="3">
        <f t="shared" si="5"/>
        <v>0</v>
      </c>
      <c r="BC61" s="35"/>
      <c r="BD61" s="35"/>
      <c r="BE61" s="35"/>
      <c r="BF61" s="35"/>
      <c r="BG61" s="35"/>
      <c r="BH61" s="35"/>
      <c r="BI61" s="73"/>
      <c r="BJ61" s="35"/>
      <c r="BL61">
        <f>+D61*5%</f>
        <v>2500.0040000000004</v>
      </c>
      <c r="BM61" s="91">
        <f>+BL61+D61</f>
        <v>52500.084000000003</v>
      </c>
      <c r="BO61" s="30" t="s">
        <v>12</v>
      </c>
    </row>
    <row r="62" spans="1:79" x14ac:dyDescent="0.25">
      <c r="A62" s="71">
        <f t="shared" si="6"/>
        <v>59</v>
      </c>
      <c r="B62" s="67" t="s">
        <v>34</v>
      </c>
      <c r="C62" s="24">
        <v>24.038499999999999</v>
      </c>
      <c r="D62" s="65">
        <f t="shared" si="13"/>
        <v>50000.08</v>
      </c>
      <c r="E62" s="113">
        <f t="shared" si="3"/>
        <v>52500</v>
      </c>
      <c r="F62" s="184">
        <f t="shared" si="7"/>
        <v>2499.9199999999983</v>
      </c>
      <c r="G62" s="166"/>
      <c r="H62" s="166"/>
      <c r="I62" s="166"/>
      <c r="J62" s="166"/>
      <c r="K62" s="166"/>
      <c r="L62" s="166"/>
      <c r="M62" s="166"/>
      <c r="N62" s="96">
        <v>0</v>
      </c>
      <c r="O62" s="34">
        <f t="shared" si="4"/>
        <v>0</v>
      </c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>
        <v>0</v>
      </c>
      <c r="AA62" s="34">
        <f>SUM(P62:Z62)</f>
        <v>0</v>
      </c>
      <c r="AB62" s="89">
        <v>52500</v>
      </c>
      <c r="AC62" s="87">
        <v>0</v>
      </c>
      <c r="AD62" s="87">
        <v>0</v>
      </c>
      <c r="AE62" s="88">
        <v>0</v>
      </c>
      <c r="AF62" s="87">
        <v>0</v>
      </c>
      <c r="AG62" s="87"/>
      <c r="AH62" s="88">
        <v>0</v>
      </c>
      <c r="AI62" s="88"/>
      <c r="AJ62" s="87">
        <v>0</v>
      </c>
      <c r="AK62" s="3">
        <f t="shared" si="12"/>
        <v>52500</v>
      </c>
      <c r="AL62" s="88"/>
      <c r="AM62" s="87"/>
      <c r="AN62" s="87"/>
      <c r="AO62" s="87"/>
      <c r="AP62" s="87"/>
      <c r="AQ62" s="87"/>
      <c r="AR62" s="87"/>
      <c r="AS62" s="87"/>
      <c r="AT62" s="87"/>
      <c r="AU62" s="3">
        <f t="shared" si="14"/>
        <v>0</v>
      </c>
      <c r="AV62" s="109"/>
      <c r="AW62" s="109"/>
      <c r="AX62" s="96">
        <v>0</v>
      </c>
      <c r="AY62" s="98">
        <v>0</v>
      </c>
      <c r="AZ62" s="176"/>
      <c r="BA62" s="176"/>
      <c r="BB62" s="3">
        <f t="shared" si="5"/>
        <v>0</v>
      </c>
      <c r="BC62" s="35"/>
      <c r="BD62" s="35"/>
      <c r="BE62" s="35"/>
      <c r="BF62" s="35"/>
      <c r="BG62" s="35"/>
      <c r="BH62" s="35"/>
      <c r="BI62" s="73"/>
      <c r="BJ62" s="35"/>
      <c r="BL62">
        <f>+D62*5%</f>
        <v>2500.0040000000004</v>
      </c>
      <c r="BM62" s="91">
        <f>+BL62+D62</f>
        <v>52500.084000000003</v>
      </c>
    </row>
    <row r="63" spans="1:79" x14ac:dyDescent="0.25">
      <c r="A63" s="71">
        <f t="shared" si="6"/>
        <v>60</v>
      </c>
      <c r="B63" s="95" t="s">
        <v>187</v>
      </c>
      <c r="C63" s="119">
        <v>24.038499999999999</v>
      </c>
      <c r="D63" s="65">
        <v>22500</v>
      </c>
      <c r="E63" s="113">
        <f t="shared" si="3"/>
        <v>42500</v>
      </c>
      <c r="F63" s="184">
        <f t="shared" si="7"/>
        <v>20000</v>
      </c>
      <c r="G63" s="166"/>
      <c r="H63" s="166"/>
      <c r="I63" s="166"/>
      <c r="J63" s="166"/>
      <c r="K63" s="166"/>
      <c r="L63" s="166"/>
      <c r="M63" s="166"/>
      <c r="N63" s="96">
        <v>0</v>
      </c>
      <c r="O63" s="34">
        <f t="shared" si="4"/>
        <v>0</v>
      </c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>
        <v>0</v>
      </c>
      <c r="AA63" s="34">
        <f>SUM(P63:Z63)</f>
        <v>0</v>
      </c>
      <c r="AB63" s="87">
        <v>0</v>
      </c>
      <c r="AC63" s="87">
        <v>0</v>
      </c>
      <c r="AD63" s="87">
        <v>0</v>
      </c>
      <c r="AE63" s="112">
        <f>22500+20000</f>
        <v>42500</v>
      </c>
      <c r="AF63" s="89">
        <v>0</v>
      </c>
      <c r="AG63" s="89">
        <v>0</v>
      </c>
      <c r="AH63" s="88">
        <v>0</v>
      </c>
      <c r="AI63" s="88"/>
      <c r="AJ63" s="87">
        <v>0</v>
      </c>
      <c r="AK63" s="3">
        <f t="shared" si="12"/>
        <v>42500</v>
      </c>
      <c r="AL63" s="88"/>
      <c r="AM63" s="87"/>
      <c r="AN63" s="87"/>
      <c r="AO63" s="87"/>
      <c r="AP63" s="87"/>
      <c r="AQ63" s="87"/>
      <c r="AR63" s="87"/>
      <c r="AS63" s="87"/>
      <c r="AT63" s="87"/>
      <c r="AU63" s="3">
        <f t="shared" si="14"/>
        <v>0</v>
      </c>
      <c r="AV63" s="109"/>
      <c r="AW63" s="109"/>
      <c r="AX63" s="96">
        <v>0</v>
      </c>
      <c r="AY63" s="98">
        <v>0</v>
      </c>
      <c r="AZ63" s="176"/>
      <c r="BA63" s="176"/>
      <c r="BB63" s="3">
        <f t="shared" si="5"/>
        <v>0</v>
      </c>
      <c r="BC63" s="35">
        <v>0</v>
      </c>
      <c r="BD63" s="35"/>
      <c r="BE63" s="35"/>
      <c r="BF63" s="35"/>
      <c r="BG63" s="35"/>
      <c r="BH63" s="35"/>
      <c r="BI63" s="73"/>
      <c r="BJ63" s="35"/>
      <c r="BL63">
        <f>+D63*5%</f>
        <v>1125</v>
      </c>
      <c r="BM63" s="91">
        <f>+BL63+D63</f>
        <v>23625</v>
      </c>
      <c r="BP63" t="s">
        <v>12</v>
      </c>
    </row>
    <row r="64" spans="1:79" x14ac:dyDescent="0.25">
      <c r="A64" s="71">
        <f t="shared" si="6"/>
        <v>61</v>
      </c>
      <c r="B64" s="11" t="s">
        <v>16</v>
      </c>
      <c r="C64" s="24">
        <v>50.173200000000001</v>
      </c>
      <c r="D64" s="65">
        <f t="shared" si="13"/>
        <v>104360.25600000001</v>
      </c>
      <c r="E64" s="113">
        <f t="shared" si="3"/>
        <v>168567.61000000002</v>
      </c>
      <c r="F64" s="184">
        <f t="shared" si="7"/>
        <v>64207.354000000007</v>
      </c>
      <c r="G64" s="166">
        <v>4383.12</v>
      </c>
      <c r="H64" s="166">
        <v>2191.56</v>
      </c>
      <c r="I64" s="166"/>
      <c r="J64" s="166">
        <v>6574.68</v>
      </c>
      <c r="K64" s="166">
        <v>3287.34</v>
      </c>
      <c r="L64" s="166">
        <v>5478.9</v>
      </c>
      <c r="M64" s="166"/>
      <c r="N64" s="96">
        <v>3287.34</v>
      </c>
      <c r="O64" s="34">
        <f t="shared" si="4"/>
        <v>25202.94</v>
      </c>
      <c r="P64" s="98">
        <v>4383.12</v>
      </c>
      <c r="Q64" s="98">
        <v>2191.56</v>
      </c>
      <c r="R64" s="98"/>
      <c r="S64" s="98"/>
      <c r="T64" s="98">
        <v>3287.34</v>
      </c>
      <c r="U64" s="98">
        <v>2191.56</v>
      </c>
      <c r="V64" s="98"/>
      <c r="W64" s="98">
        <v>2191.56</v>
      </c>
      <c r="X64" s="98">
        <v>3287.34</v>
      </c>
      <c r="Y64" s="98">
        <v>3287.35</v>
      </c>
      <c r="Z64" s="98">
        <v>3287.34</v>
      </c>
      <c r="AA64" s="34">
        <f>SUM(P64:Z64)</f>
        <v>24107.17</v>
      </c>
      <c r="AB64" s="89">
        <v>5479</v>
      </c>
      <c r="AC64" s="89">
        <v>6575</v>
      </c>
      <c r="AD64" s="89">
        <v>10958</v>
      </c>
      <c r="AE64" s="89">
        <v>10958</v>
      </c>
      <c r="AF64" s="89">
        <f>2192-1100</f>
        <v>1092</v>
      </c>
      <c r="AG64" s="89"/>
      <c r="AH64" s="89">
        <v>8027.72</v>
      </c>
      <c r="AI64" s="89">
        <v>6750</v>
      </c>
      <c r="AJ64" s="89">
        <v>10958</v>
      </c>
      <c r="AK64" s="3">
        <f t="shared" si="12"/>
        <v>60797.72</v>
      </c>
      <c r="AL64" s="88">
        <f>+'[8]P 2-Salary '!$J$14-1500</f>
        <v>691.57999999999993</v>
      </c>
      <c r="AM64" s="87">
        <f>+'[9]P 2-Salary '!$J$14-600</f>
        <v>2687.37</v>
      </c>
      <c r="AN64" s="87">
        <f>+'[7]P 2-Salary '!$J$14</f>
        <v>5478.9500000000007</v>
      </c>
      <c r="AO64" s="87">
        <f>+'[2]P 2-Salary '!$J$14</f>
        <v>10957.800000000001</v>
      </c>
      <c r="AP64" s="87">
        <f>+'[10]P 2-Salary '!$J$14</f>
        <v>4383.12</v>
      </c>
      <c r="AQ64" s="87">
        <f>+'[11]P 2-Salary '!$J$14</f>
        <v>5400</v>
      </c>
      <c r="AR64" s="87">
        <f>+'[4]P 2-Salary '!$J$14</f>
        <v>5478.9000000000005</v>
      </c>
      <c r="AS64" s="87">
        <f>+'[5]P 2-Salary '!$J$14-2500</f>
        <v>1883.12</v>
      </c>
      <c r="AT64" s="87">
        <f>+'[6]P 2-Salary '!$J$14-1500</f>
        <v>7266.24</v>
      </c>
      <c r="AU64" s="3">
        <f t="shared" si="14"/>
        <v>44227.08</v>
      </c>
      <c r="AV64" s="130">
        <v>0</v>
      </c>
      <c r="AW64" s="130">
        <v>2805.22</v>
      </c>
      <c r="AX64" s="96">
        <v>2191.58</v>
      </c>
      <c r="AY64" s="98">
        <v>2191.58</v>
      </c>
      <c r="AZ64" s="177">
        <v>3913.51</v>
      </c>
      <c r="BA64" s="176">
        <v>0</v>
      </c>
      <c r="BB64" s="3">
        <f t="shared" si="5"/>
        <v>8296.67</v>
      </c>
      <c r="BC64" s="35"/>
      <c r="BD64" s="35"/>
      <c r="BE64" s="35"/>
      <c r="BF64" s="35"/>
      <c r="BG64" s="35"/>
      <c r="BH64" s="35"/>
      <c r="BI64" s="73">
        <v>3130.81</v>
      </c>
      <c r="BJ64" s="35"/>
      <c r="BL64">
        <f>+D64*5%</f>
        <v>5218.0128000000004</v>
      </c>
      <c r="BM64" s="91">
        <f>+BL64+D64</f>
        <v>109578.26880000001</v>
      </c>
      <c r="BP64" t="s">
        <v>12</v>
      </c>
    </row>
    <row r="65" spans="1:69" x14ac:dyDescent="0.25">
      <c r="A65" s="71">
        <f t="shared" si="6"/>
        <v>62</v>
      </c>
      <c r="B65" s="11" t="s">
        <v>17</v>
      </c>
      <c r="C65" s="24">
        <v>46.109900000000003</v>
      </c>
      <c r="D65" s="65">
        <f t="shared" si="13"/>
        <v>95908.592000000004</v>
      </c>
      <c r="E65" s="113">
        <f t="shared" si="3"/>
        <v>153366.2156</v>
      </c>
      <c r="F65" s="184">
        <f t="shared" si="7"/>
        <v>57457.623599999992</v>
      </c>
      <c r="G65" s="166">
        <v>4028.16</v>
      </c>
      <c r="H65" s="166">
        <v>2014.08</v>
      </c>
      <c r="I65" s="166"/>
      <c r="J65" s="166">
        <v>6042.24</v>
      </c>
      <c r="K65" s="166">
        <v>3021.12</v>
      </c>
      <c r="L65" s="166">
        <v>5035.2</v>
      </c>
      <c r="M65" s="166"/>
      <c r="N65" s="96">
        <v>3021.12</v>
      </c>
      <c r="O65" s="34">
        <f t="shared" si="4"/>
        <v>23161.919999999998</v>
      </c>
      <c r="P65" s="98">
        <v>4028.16</v>
      </c>
      <c r="Q65" s="98">
        <v>2014.08</v>
      </c>
      <c r="R65" s="98"/>
      <c r="S65" s="98"/>
      <c r="T65" s="98"/>
      <c r="U65" s="98">
        <v>2014.08</v>
      </c>
      <c r="V65" s="98"/>
      <c r="W65" s="98">
        <v>2014.08</v>
      </c>
      <c r="X65" s="98">
        <v>3021.12</v>
      </c>
      <c r="Y65" s="98">
        <v>3021.12</v>
      </c>
      <c r="Z65" s="98">
        <v>3021.12</v>
      </c>
      <c r="AA65" s="34">
        <f>SUM(P65:Z65)</f>
        <v>19133.759999999998</v>
      </c>
      <c r="AB65" s="89">
        <v>5035</v>
      </c>
      <c r="AC65" s="89">
        <v>6041</v>
      </c>
      <c r="AD65" s="89">
        <v>10070</v>
      </c>
      <c r="AE65" s="89">
        <v>10070</v>
      </c>
      <c r="AF65" s="89">
        <v>2014</v>
      </c>
      <c r="AG65" s="89"/>
      <c r="AH65" s="89">
        <v>7930.89</v>
      </c>
      <c r="AI65" s="89">
        <v>5295</v>
      </c>
      <c r="AJ65" s="89">
        <v>10070</v>
      </c>
      <c r="AK65" s="3">
        <f t="shared" si="12"/>
        <v>56525.89</v>
      </c>
      <c r="AL65" s="88">
        <f>+'[8]P 2-Salary '!$J$15-1500</f>
        <v>514.08000000000015</v>
      </c>
      <c r="AM65" s="87">
        <f>+'[9]P 2-Salary '!$J$15</f>
        <v>3021.12</v>
      </c>
      <c r="AN65" s="87">
        <f>+'[7]P 2-Salary '!$J$15</f>
        <v>5035.2000000000007</v>
      </c>
      <c r="AO65" s="87">
        <f>+'[2]P 2-Salary '!$J$15</f>
        <v>10070.400000000001</v>
      </c>
      <c r="AP65" s="87">
        <f>+'[10]P 2-Salary '!$J$15-100</f>
        <v>3928.1600000000003</v>
      </c>
      <c r="AQ65" s="117">
        <f>+'[11]P 2-Salary '!$J$15</f>
        <v>4236.3455999999996</v>
      </c>
      <c r="AR65" s="87">
        <f>+'[4]P 2-Salary '!$J$15</f>
        <v>5035.2000000000007</v>
      </c>
      <c r="AS65" s="87">
        <f>+'[5]P 2-Salary '!$J$15-2500</f>
        <v>1528.1600000000003</v>
      </c>
      <c r="AT65" s="87">
        <f>+'[6]P 2-Salary '!$J$15</f>
        <v>8056.3200000000006</v>
      </c>
      <c r="AU65" s="3">
        <f t="shared" si="14"/>
        <v>41424.985600000007</v>
      </c>
      <c r="AV65" s="130">
        <v>0</v>
      </c>
      <c r="AW65" s="130">
        <v>1879.9</v>
      </c>
      <c r="AX65" s="96">
        <v>2014.08</v>
      </c>
      <c r="AY65" s="98">
        <v>2014.08</v>
      </c>
      <c r="AZ65" s="177">
        <v>4334.34</v>
      </c>
      <c r="BA65" s="176">
        <v>0</v>
      </c>
      <c r="BB65" s="3">
        <f t="shared" si="5"/>
        <v>8362.5</v>
      </c>
      <c r="BC65" s="35"/>
      <c r="BD65" s="35"/>
      <c r="BE65" s="35"/>
      <c r="BF65" s="35"/>
      <c r="BG65" s="35"/>
      <c r="BH65" s="35"/>
      <c r="BI65" s="73">
        <v>2877.26</v>
      </c>
      <c r="BJ65" s="35"/>
      <c r="BL65">
        <f>+D65*5%</f>
        <v>4795.4296000000004</v>
      </c>
      <c r="BM65" s="91">
        <f>+BL65+D65</f>
        <v>100704.02160000001</v>
      </c>
      <c r="BP65" t="s">
        <v>12</v>
      </c>
    </row>
    <row r="66" spans="1:69" x14ac:dyDescent="0.25">
      <c r="A66" s="71">
        <f t="shared" si="6"/>
        <v>63</v>
      </c>
      <c r="B66" s="67" t="s">
        <v>155</v>
      </c>
      <c r="C66" s="119">
        <v>24.038499999999999</v>
      </c>
      <c r="D66" s="65">
        <f t="shared" si="13"/>
        <v>50000.08</v>
      </c>
      <c r="E66" s="113">
        <f t="shared" si="3"/>
        <v>52500</v>
      </c>
      <c r="F66" s="184">
        <f t="shared" si="7"/>
        <v>2499.9199999999983</v>
      </c>
      <c r="G66" s="166"/>
      <c r="H66" s="166"/>
      <c r="I66" s="166"/>
      <c r="J66" s="166"/>
      <c r="K66" s="166"/>
      <c r="L66" s="166"/>
      <c r="M66" s="166"/>
      <c r="N66" s="96">
        <v>0</v>
      </c>
      <c r="O66" s="34">
        <f t="shared" si="4"/>
        <v>0</v>
      </c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>
        <v>0</v>
      </c>
      <c r="AA66" s="34">
        <f>SUM(P66:Z66)</f>
        <v>0</v>
      </c>
      <c r="AB66" s="87">
        <v>0</v>
      </c>
      <c r="AC66" s="89">
        <v>52500</v>
      </c>
      <c r="AD66" s="87">
        <v>0</v>
      </c>
      <c r="AE66" s="88">
        <v>0</v>
      </c>
      <c r="AF66" s="87">
        <v>0</v>
      </c>
      <c r="AG66" s="87"/>
      <c r="AH66" s="88">
        <v>0</v>
      </c>
      <c r="AI66" s="88"/>
      <c r="AJ66" s="87">
        <v>0</v>
      </c>
      <c r="AK66" s="3">
        <f t="shared" si="12"/>
        <v>52500</v>
      </c>
      <c r="AL66" s="88"/>
      <c r="AM66" s="87"/>
      <c r="AN66" s="87"/>
      <c r="AO66" s="87"/>
      <c r="AP66" s="87"/>
      <c r="AQ66" s="87"/>
      <c r="AR66" s="87"/>
      <c r="AS66" s="87"/>
      <c r="AT66" s="87"/>
      <c r="AU66" s="3">
        <f t="shared" si="14"/>
        <v>0</v>
      </c>
      <c r="AV66" s="109"/>
      <c r="AW66" s="109"/>
      <c r="AX66" s="96">
        <v>0</v>
      </c>
      <c r="AY66" s="98">
        <v>0</v>
      </c>
      <c r="AZ66" s="176"/>
      <c r="BA66" s="176"/>
      <c r="BB66" s="3">
        <f t="shared" si="5"/>
        <v>0</v>
      </c>
      <c r="BC66" s="35"/>
      <c r="BD66" s="35"/>
      <c r="BE66" s="35"/>
      <c r="BF66" s="35"/>
      <c r="BG66" s="35"/>
      <c r="BH66" s="35"/>
      <c r="BI66" s="73"/>
      <c r="BJ66" s="35"/>
      <c r="BL66">
        <f>+D66*5%</f>
        <v>2500.0040000000004</v>
      </c>
      <c r="BM66" s="91">
        <f>+BL66+D66</f>
        <v>52500.084000000003</v>
      </c>
      <c r="BO66" t="s">
        <v>12</v>
      </c>
      <c r="BP66" t="s">
        <v>12</v>
      </c>
    </row>
    <row r="67" spans="1:69" x14ac:dyDescent="0.25">
      <c r="A67" s="71">
        <f t="shared" si="6"/>
        <v>64</v>
      </c>
      <c r="B67" s="67" t="s">
        <v>19</v>
      </c>
      <c r="C67" s="24">
        <v>28.004799999999999</v>
      </c>
      <c r="D67" s="65">
        <f t="shared" si="13"/>
        <v>58249.983999999997</v>
      </c>
      <c r="E67" s="113">
        <f t="shared" si="3"/>
        <v>110674.96</v>
      </c>
      <c r="F67" s="184">
        <f t="shared" si="7"/>
        <v>52424.97600000001</v>
      </c>
      <c r="G67" s="167">
        <v>21406.87</v>
      </c>
      <c r="H67" s="167">
        <v>24464.99</v>
      </c>
      <c r="I67" s="167">
        <v>6116.25</v>
      </c>
      <c r="J67" s="167"/>
      <c r="K67" s="167"/>
      <c r="L67" s="167"/>
      <c r="M67" s="167"/>
      <c r="N67" s="96">
        <v>9174.3700000000008</v>
      </c>
      <c r="O67" s="34">
        <f t="shared" si="4"/>
        <v>61162.48</v>
      </c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>
        <v>0</v>
      </c>
      <c r="AA67" s="34">
        <f>SUM(P67:Z67)</f>
        <v>0</v>
      </c>
      <c r="AB67" s="87"/>
      <c r="AC67" s="87">
        <v>0</v>
      </c>
      <c r="AD67" s="87">
        <v>0</v>
      </c>
      <c r="AE67" s="88">
        <v>0</v>
      </c>
      <c r="AF67" s="87">
        <v>0</v>
      </c>
      <c r="AG67" s="87"/>
      <c r="AH67" s="88">
        <v>0</v>
      </c>
      <c r="AI67" s="88"/>
      <c r="AJ67" s="87">
        <v>0</v>
      </c>
      <c r="AK67" s="3">
        <f t="shared" si="12"/>
        <v>0</v>
      </c>
      <c r="AL67" s="88"/>
      <c r="AM67" s="87"/>
      <c r="AN67" s="87"/>
      <c r="AO67" s="87">
        <v>0</v>
      </c>
      <c r="AP67" s="87"/>
      <c r="AQ67" s="87"/>
      <c r="AR67" s="87"/>
      <c r="AS67" s="87"/>
      <c r="AT67" s="87"/>
      <c r="AU67" s="3">
        <f t="shared" si="14"/>
        <v>0</v>
      </c>
      <c r="AV67" s="109"/>
      <c r="AW67" s="109"/>
      <c r="AX67" s="96">
        <v>49512.480000000003</v>
      </c>
      <c r="AY67" s="98">
        <v>0</v>
      </c>
      <c r="AZ67" s="176"/>
      <c r="BA67" s="176"/>
      <c r="BB67" s="3">
        <f t="shared" si="5"/>
        <v>49512.480000000003</v>
      </c>
      <c r="BC67" s="35"/>
      <c r="BD67" s="35"/>
      <c r="BE67" s="35"/>
      <c r="BF67" s="35"/>
      <c r="BG67" s="35"/>
      <c r="BH67" s="35"/>
      <c r="BI67" s="73"/>
      <c r="BJ67" s="35"/>
      <c r="BL67">
        <f>+D67*5%</f>
        <v>2912.4992000000002</v>
      </c>
      <c r="BM67" s="91">
        <f>+BL67+D67</f>
        <v>61162.483199999995</v>
      </c>
    </row>
    <row r="68" spans="1:69" x14ac:dyDescent="0.25">
      <c r="A68" s="71">
        <f t="shared" si="6"/>
        <v>65</v>
      </c>
      <c r="B68" s="67" t="s">
        <v>150</v>
      </c>
      <c r="C68" s="119">
        <v>24.038499999999999</v>
      </c>
      <c r="D68" s="65">
        <f t="shared" si="13"/>
        <v>50000.08</v>
      </c>
      <c r="E68" s="113">
        <f t="shared" si="3"/>
        <v>52550</v>
      </c>
      <c r="F68" s="184">
        <f t="shared" si="7"/>
        <v>2549.9199999999983</v>
      </c>
      <c r="G68" s="166"/>
      <c r="H68" s="166"/>
      <c r="I68" s="166"/>
      <c r="J68" s="166"/>
      <c r="K68" s="166"/>
      <c r="L68" s="166"/>
      <c r="M68" s="166"/>
      <c r="N68" s="96">
        <v>0</v>
      </c>
      <c r="O68" s="34">
        <f t="shared" si="4"/>
        <v>0</v>
      </c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>
        <v>0</v>
      </c>
      <c r="AA68" s="34">
        <f>SUM(P68:Z68)</f>
        <v>0</v>
      </c>
      <c r="AB68" s="87"/>
      <c r="AC68" s="87">
        <v>0</v>
      </c>
      <c r="AD68" s="87">
        <v>0</v>
      </c>
      <c r="AE68" s="88">
        <v>0</v>
      </c>
      <c r="AF68" s="87">
        <v>0</v>
      </c>
      <c r="AG68" s="87"/>
      <c r="AH68" s="88">
        <v>0</v>
      </c>
      <c r="AI68" s="88"/>
      <c r="AJ68" s="87">
        <v>0</v>
      </c>
      <c r="AK68" s="3">
        <f t="shared" si="12"/>
        <v>0</v>
      </c>
      <c r="AL68" s="88"/>
      <c r="AM68" s="87"/>
      <c r="AN68" s="87"/>
      <c r="AO68" s="87"/>
      <c r="AP68" s="87">
        <f>+'[10]P 2-Salary '!$J$22+100</f>
        <v>10550</v>
      </c>
      <c r="AQ68" s="87">
        <f>+'[11]P 2-Salary '!$J$20</f>
        <v>42000</v>
      </c>
      <c r="AR68" s="87"/>
      <c r="AS68" s="87"/>
      <c r="AT68" s="87"/>
      <c r="AU68" s="3">
        <f t="shared" si="14"/>
        <v>52550</v>
      </c>
      <c r="AV68" s="109"/>
      <c r="AW68" s="109"/>
      <c r="AX68" s="96">
        <v>0</v>
      </c>
      <c r="AY68" s="98">
        <v>0</v>
      </c>
      <c r="AZ68" s="176"/>
      <c r="BA68" s="176"/>
      <c r="BB68" s="3">
        <f t="shared" si="5"/>
        <v>0</v>
      </c>
      <c r="BC68" s="35"/>
      <c r="BD68" s="35"/>
      <c r="BE68" s="35"/>
      <c r="BF68" s="35"/>
      <c r="BG68" s="35"/>
      <c r="BH68" s="35"/>
      <c r="BI68" s="73"/>
      <c r="BJ68" s="35"/>
      <c r="BL68">
        <f>+D68*5%</f>
        <v>2500.0040000000004</v>
      </c>
      <c r="BM68" s="91">
        <f>+BL68+D68</f>
        <v>52500.084000000003</v>
      </c>
    </row>
    <row r="69" spans="1:69" x14ac:dyDescent="0.25">
      <c r="A69" s="71">
        <f t="shared" si="6"/>
        <v>66</v>
      </c>
      <c r="B69" s="67" t="s">
        <v>164</v>
      </c>
      <c r="C69" s="24">
        <v>28.8462</v>
      </c>
      <c r="D69" s="65">
        <f t="shared" si="13"/>
        <v>60000.095999999998</v>
      </c>
      <c r="E69" s="113">
        <f t="shared" ref="E69:E93" si="15">+O69+AA69+AK69+AU69+AV69+AW69+BC69+BE69+BF69+BG69+BH69+BI69+BJ69+BB69+BD69</f>
        <v>87423.11</v>
      </c>
      <c r="F69" s="184">
        <f t="shared" si="7"/>
        <v>27423.014000000003</v>
      </c>
      <c r="G69" s="166"/>
      <c r="H69" s="166"/>
      <c r="I69" s="166"/>
      <c r="J69" s="166"/>
      <c r="K69" s="166"/>
      <c r="L69" s="166"/>
      <c r="M69" s="166"/>
      <c r="N69" s="96">
        <v>0</v>
      </c>
      <c r="O69" s="34">
        <f t="shared" ref="O69:O93" si="16">SUM(G69:N69)</f>
        <v>0</v>
      </c>
      <c r="P69" s="98"/>
      <c r="Q69" s="98">
        <v>18900</v>
      </c>
      <c r="R69" s="98">
        <v>12600</v>
      </c>
      <c r="S69" s="98"/>
      <c r="T69" s="98"/>
      <c r="U69" s="98"/>
      <c r="V69" s="98"/>
      <c r="W69" s="98"/>
      <c r="X69" s="98"/>
      <c r="Y69" s="98"/>
      <c r="Z69" s="98">
        <v>0</v>
      </c>
      <c r="AA69" s="34">
        <f>SUM(P69:Z69)</f>
        <v>31500</v>
      </c>
      <c r="AB69" s="87"/>
      <c r="AC69" s="87"/>
      <c r="AD69" s="89">
        <v>30000</v>
      </c>
      <c r="AE69" s="88"/>
      <c r="AF69" s="87"/>
      <c r="AG69" s="87"/>
      <c r="AH69" s="89">
        <v>9923.11</v>
      </c>
      <c r="AI69" s="89">
        <v>16000</v>
      </c>
      <c r="AJ69" s="87"/>
      <c r="AK69" s="3">
        <f t="shared" si="12"/>
        <v>55923.11</v>
      </c>
      <c r="AL69" s="88"/>
      <c r="AM69" s="87"/>
      <c r="AN69" s="87"/>
      <c r="AO69" s="87"/>
      <c r="AP69" s="87"/>
      <c r="AQ69" s="87"/>
      <c r="AR69" s="87"/>
      <c r="AS69" s="87"/>
      <c r="AT69" s="87"/>
      <c r="AU69" s="3">
        <f t="shared" si="14"/>
        <v>0</v>
      </c>
      <c r="AV69" s="109"/>
      <c r="AW69" s="109"/>
      <c r="AX69" s="96">
        <v>0</v>
      </c>
      <c r="AY69" s="98">
        <v>0</v>
      </c>
      <c r="AZ69" s="176"/>
      <c r="BA69" s="176"/>
      <c r="BB69" s="3">
        <f t="shared" ref="BB69:BB93" si="17">SUM(AX69:BA69)</f>
        <v>0</v>
      </c>
      <c r="BC69" s="35"/>
      <c r="BD69" s="35"/>
      <c r="BE69" s="35"/>
      <c r="BF69" s="35"/>
      <c r="BG69" s="35"/>
      <c r="BH69" s="35"/>
      <c r="BI69" s="73"/>
      <c r="BJ69" s="35"/>
      <c r="BM69" s="91"/>
    </row>
    <row r="70" spans="1:69" x14ac:dyDescent="0.25">
      <c r="A70" s="71">
        <f t="shared" ref="A70:A90" si="18">+A69+1</f>
        <v>67</v>
      </c>
      <c r="B70" s="67" t="s">
        <v>27</v>
      </c>
      <c r="C70" s="119">
        <v>33.281300000000002</v>
      </c>
      <c r="D70" s="65">
        <f t="shared" si="13"/>
        <v>69225.104000000007</v>
      </c>
      <c r="E70" s="113">
        <f t="shared" si="15"/>
        <v>96886.38</v>
      </c>
      <c r="F70" s="184">
        <f t="shared" ref="F70:F93" si="19">+E70-D70</f>
        <v>27661.275999999998</v>
      </c>
      <c r="G70" s="166"/>
      <c r="H70" s="166"/>
      <c r="I70" s="166"/>
      <c r="J70" s="166">
        <v>7268.6</v>
      </c>
      <c r="K70" s="166"/>
      <c r="L70" s="166">
        <v>10902.9</v>
      </c>
      <c r="M70" s="166"/>
      <c r="N70" s="96">
        <v>5814.88</v>
      </c>
      <c r="O70" s="34">
        <f t="shared" si="16"/>
        <v>23986.38</v>
      </c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>
        <v>0</v>
      </c>
      <c r="AA70" s="34">
        <f>SUM(P70:Z70)</f>
        <v>0</v>
      </c>
      <c r="AB70" s="87">
        <v>0</v>
      </c>
      <c r="AC70" s="87">
        <v>0</v>
      </c>
      <c r="AD70" s="87">
        <v>0</v>
      </c>
      <c r="AE70" s="88">
        <v>0</v>
      </c>
      <c r="AF70" s="87">
        <v>0</v>
      </c>
      <c r="AG70" s="87"/>
      <c r="AH70" s="88">
        <v>0</v>
      </c>
      <c r="AI70" s="88"/>
      <c r="AJ70" s="87">
        <v>0</v>
      </c>
      <c r="AK70" s="3">
        <f t="shared" si="12"/>
        <v>0</v>
      </c>
      <c r="AL70" s="88"/>
      <c r="AM70" s="87"/>
      <c r="AN70" s="87"/>
      <c r="AO70" s="87"/>
      <c r="AP70" s="87"/>
      <c r="AQ70" s="87"/>
      <c r="AR70" s="87">
        <f>+'[4]P 2-Salary '!$J$21</f>
        <v>21420</v>
      </c>
      <c r="AS70" s="87">
        <f>+'[5]P 2-Salary '!$J$22</f>
        <v>24990</v>
      </c>
      <c r="AT70" s="87">
        <f>+'[6]P 2-Salary '!$J$24+1500</f>
        <v>26490</v>
      </c>
      <c r="AU70" s="3">
        <f t="shared" si="14"/>
        <v>72900</v>
      </c>
      <c r="AV70" s="109"/>
      <c r="AW70" s="109"/>
      <c r="AX70" s="96">
        <v>0</v>
      </c>
      <c r="AY70" s="98">
        <v>0</v>
      </c>
      <c r="AZ70" s="176"/>
      <c r="BA70" s="176"/>
      <c r="BB70" s="3">
        <f t="shared" si="17"/>
        <v>0</v>
      </c>
      <c r="BC70" s="35"/>
      <c r="BD70" s="35"/>
      <c r="BE70" s="35"/>
      <c r="BF70" s="35"/>
      <c r="BG70" s="35"/>
      <c r="BH70" s="35"/>
      <c r="BI70" s="73"/>
      <c r="BJ70" s="35"/>
      <c r="BM70" s="91"/>
    </row>
    <row r="71" spans="1:69" x14ac:dyDescent="0.25">
      <c r="A71" s="71">
        <f t="shared" si="18"/>
        <v>68</v>
      </c>
      <c r="B71" s="67" t="s">
        <v>127</v>
      </c>
      <c r="C71" s="119">
        <v>25.600999999999999</v>
      </c>
      <c r="D71" s="65">
        <f t="shared" si="13"/>
        <v>53250.080000000002</v>
      </c>
      <c r="E71" s="113">
        <f t="shared" si="15"/>
        <v>56527.42</v>
      </c>
      <c r="F71" s="184">
        <f t="shared" si="19"/>
        <v>3277.3399999999965</v>
      </c>
      <c r="G71" s="166"/>
      <c r="H71" s="166"/>
      <c r="I71" s="166"/>
      <c r="J71" s="166"/>
      <c r="K71" s="166"/>
      <c r="L71" s="166"/>
      <c r="M71" s="166"/>
      <c r="N71" s="96">
        <v>0</v>
      </c>
      <c r="O71" s="34">
        <f t="shared" si="16"/>
        <v>0</v>
      </c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>
        <v>0</v>
      </c>
      <c r="AA71" s="34">
        <f>SUM(P71:Z71)</f>
        <v>0</v>
      </c>
      <c r="AB71" s="87">
        <v>0</v>
      </c>
      <c r="AC71" s="87">
        <v>0</v>
      </c>
      <c r="AD71" s="87">
        <v>0</v>
      </c>
      <c r="AE71" s="89">
        <v>55913</v>
      </c>
      <c r="AF71" s="87">
        <v>0</v>
      </c>
      <c r="AG71" s="87"/>
      <c r="AH71" s="89">
        <v>614.41999999999996</v>
      </c>
      <c r="AI71" s="88"/>
      <c r="AJ71" s="87">
        <v>0</v>
      </c>
      <c r="AK71" s="3">
        <f t="shared" si="12"/>
        <v>56527.42</v>
      </c>
      <c r="AL71" s="88"/>
      <c r="AM71" s="87"/>
      <c r="AN71" s="87"/>
      <c r="AO71" s="87"/>
      <c r="AP71" s="87"/>
      <c r="AQ71" s="87"/>
      <c r="AR71" s="87"/>
      <c r="AS71" s="87"/>
      <c r="AT71" s="87"/>
      <c r="AU71" s="3">
        <f t="shared" si="14"/>
        <v>0</v>
      </c>
      <c r="AV71" s="109"/>
      <c r="AW71" s="109"/>
      <c r="AX71" s="96">
        <v>0</v>
      </c>
      <c r="AY71" s="98">
        <v>0</v>
      </c>
      <c r="AZ71" s="176"/>
      <c r="BA71" s="176"/>
      <c r="BB71" s="3">
        <f t="shared" si="17"/>
        <v>0</v>
      </c>
      <c r="BC71" s="35"/>
      <c r="BD71" s="35"/>
      <c r="BE71" s="35"/>
      <c r="BF71" s="35"/>
      <c r="BG71" s="35"/>
      <c r="BH71" s="35"/>
      <c r="BI71" s="73"/>
      <c r="BJ71" s="35"/>
      <c r="BM71" s="91"/>
    </row>
    <row r="72" spans="1:69" x14ac:dyDescent="0.25">
      <c r="A72" s="71">
        <f t="shared" si="18"/>
        <v>69</v>
      </c>
      <c r="B72" s="67" t="s">
        <v>160</v>
      </c>
      <c r="C72" s="119">
        <v>30.5547</v>
      </c>
      <c r="D72" s="65">
        <f t="shared" si="13"/>
        <v>63553.775999999998</v>
      </c>
      <c r="E72" s="113">
        <f t="shared" si="15"/>
        <v>71400</v>
      </c>
      <c r="F72" s="184">
        <f t="shared" si="19"/>
        <v>7846.224000000002</v>
      </c>
      <c r="G72" s="166"/>
      <c r="H72" s="166"/>
      <c r="I72" s="166"/>
      <c r="J72" s="166"/>
      <c r="K72" s="166"/>
      <c r="L72" s="166"/>
      <c r="M72" s="166"/>
      <c r="N72" s="96">
        <v>0</v>
      </c>
      <c r="O72" s="34">
        <f t="shared" si="16"/>
        <v>0</v>
      </c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>
        <v>0</v>
      </c>
      <c r="AA72" s="34">
        <f>SUM(P72:Z72)</f>
        <v>0</v>
      </c>
      <c r="AB72" s="87">
        <v>0</v>
      </c>
      <c r="AC72" s="87">
        <v>0</v>
      </c>
      <c r="AD72" s="87">
        <v>0</v>
      </c>
      <c r="AE72" s="88">
        <v>0</v>
      </c>
      <c r="AF72" s="87">
        <v>0</v>
      </c>
      <c r="AG72" s="87"/>
      <c r="AH72" s="88">
        <v>0</v>
      </c>
      <c r="AI72" s="88"/>
      <c r="AJ72" s="87">
        <v>0</v>
      </c>
      <c r="AK72" s="3">
        <f t="shared" si="12"/>
        <v>0</v>
      </c>
      <c r="AL72" s="88"/>
      <c r="AM72" s="87"/>
      <c r="AN72" s="87"/>
      <c r="AO72" s="87">
        <f>+'[2]P 2-Salary '!$J$21</f>
        <v>71400</v>
      </c>
      <c r="AP72" s="87"/>
      <c r="AQ72" s="87"/>
      <c r="AR72" s="87"/>
      <c r="AS72" s="87"/>
      <c r="AT72" s="87"/>
      <c r="AU72" s="3">
        <f t="shared" si="14"/>
        <v>71400</v>
      </c>
      <c r="AV72" s="109"/>
      <c r="AW72" s="109"/>
      <c r="AX72" s="96">
        <v>0</v>
      </c>
      <c r="AY72" s="98">
        <v>0</v>
      </c>
      <c r="AZ72" s="176"/>
      <c r="BA72" s="176"/>
      <c r="BB72" s="3">
        <f t="shared" si="17"/>
        <v>0</v>
      </c>
      <c r="BC72" s="35"/>
      <c r="BD72" s="35"/>
      <c r="BE72" s="35"/>
      <c r="BF72" s="35"/>
      <c r="BG72" s="35"/>
      <c r="BH72" s="35"/>
      <c r="BI72" s="73"/>
      <c r="BJ72" s="35"/>
      <c r="BM72" s="91"/>
    </row>
    <row r="73" spans="1:69" x14ac:dyDescent="0.25">
      <c r="A73" s="71">
        <f t="shared" si="18"/>
        <v>70</v>
      </c>
      <c r="B73" s="132" t="s">
        <v>124</v>
      </c>
      <c r="C73" s="119">
        <f>65000/2080</f>
        <v>31.25</v>
      </c>
      <c r="D73" s="65">
        <f>+C73*904</f>
        <v>28250</v>
      </c>
      <c r="E73" s="113">
        <f t="shared" si="15"/>
        <v>38250</v>
      </c>
      <c r="F73" s="184">
        <f t="shared" si="19"/>
        <v>10000</v>
      </c>
      <c r="G73" s="166"/>
      <c r="H73" s="166"/>
      <c r="I73" s="166"/>
      <c r="J73" s="166"/>
      <c r="K73" s="166"/>
      <c r="L73" s="166"/>
      <c r="M73" s="166"/>
      <c r="N73" s="96">
        <v>0</v>
      </c>
      <c r="O73" s="34">
        <f t="shared" si="16"/>
        <v>0</v>
      </c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>
        <v>0</v>
      </c>
      <c r="AA73" s="34">
        <f>SUM(P73:Z73)</f>
        <v>0</v>
      </c>
      <c r="AB73" s="87"/>
      <c r="AC73" s="87"/>
      <c r="AD73" s="87"/>
      <c r="AE73" s="88"/>
      <c r="AF73" s="87"/>
      <c r="AG73" s="87"/>
      <c r="AH73" s="88"/>
      <c r="AI73" s="88"/>
      <c r="AJ73" s="87"/>
      <c r="AK73" s="3">
        <f t="shared" si="12"/>
        <v>0</v>
      </c>
      <c r="AL73" s="88"/>
      <c r="AM73" s="87"/>
      <c r="AN73" s="87"/>
      <c r="AO73" s="87"/>
      <c r="AP73" s="87"/>
      <c r="AQ73" s="87"/>
      <c r="AR73" s="87"/>
      <c r="AS73" s="87"/>
      <c r="AT73" s="87"/>
      <c r="AU73" s="3">
        <f t="shared" si="14"/>
        <v>0</v>
      </c>
      <c r="AV73" s="109"/>
      <c r="AW73" s="109"/>
      <c r="AX73" s="96">
        <v>0</v>
      </c>
      <c r="AY73" s="98">
        <v>0</v>
      </c>
      <c r="AZ73" s="177">
        <v>38250</v>
      </c>
      <c r="BA73" s="176"/>
      <c r="BB73" s="3">
        <f t="shared" si="17"/>
        <v>38250</v>
      </c>
      <c r="BC73" s="35"/>
      <c r="BD73" s="35"/>
      <c r="BE73" s="35"/>
      <c r="BF73" s="35"/>
      <c r="BG73" s="35"/>
      <c r="BH73" s="35"/>
      <c r="BI73" s="73"/>
      <c r="BJ73" s="35"/>
      <c r="BM73" s="91"/>
      <c r="BO73" t="s">
        <v>12</v>
      </c>
      <c r="BP73" t="s">
        <v>12</v>
      </c>
    </row>
    <row r="74" spans="1:69" x14ac:dyDescent="0.25">
      <c r="A74" s="71">
        <f t="shared" si="18"/>
        <v>71</v>
      </c>
      <c r="B74" s="115" t="s">
        <v>138</v>
      </c>
      <c r="C74" s="17">
        <v>32.692300000000003</v>
      </c>
      <c r="D74" s="65">
        <f>+C74*(2080-160-160)</f>
        <v>57538.448000000004</v>
      </c>
      <c r="E74" s="113">
        <f t="shared" si="15"/>
        <v>99450</v>
      </c>
      <c r="F74" s="184">
        <f t="shared" si="19"/>
        <v>41911.551999999996</v>
      </c>
      <c r="G74" s="166"/>
      <c r="H74" s="166">
        <v>7150</v>
      </c>
      <c r="I74" s="166">
        <v>6500</v>
      </c>
      <c r="J74" s="166">
        <v>6500</v>
      </c>
      <c r="K74" s="166">
        <v>6500</v>
      </c>
      <c r="L74" s="166">
        <v>9100</v>
      </c>
      <c r="M74" s="166">
        <v>9750</v>
      </c>
      <c r="N74" s="169">
        <v>0</v>
      </c>
      <c r="O74" s="34">
        <f t="shared" si="16"/>
        <v>45500</v>
      </c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>
        <v>0</v>
      </c>
      <c r="AA74" s="34">
        <f>SUM(P74:Z74)</f>
        <v>0</v>
      </c>
      <c r="AB74" s="87"/>
      <c r="AC74" s="87"/>
      <c r="AD74" s="87"/>
      <c r="AE74" s="88"/>
      <c r="AF74" s="87"/>
      <c r="AG74" s="87"/>
      <c r="AH74" s="88"/>
      <c r="AI74" s="88"/>
      <c r="AJ74" s="87"/>
      <c r="AK74" s="3">
        <f t="shared" si="12"/>
        <v>0</v>
      </c>
      <c r="AL74" s="112">
        <f>+'[8]P 2-Salary '!$J$16</f>
        <v>7140</v>
      </c>
      <c r="AM74" s="87"/>
      <c r="AN74" s="112">
        <f>+'[7]P 2-Salary '!$J$23</f>
        <v>17850</v>
      </c>
      <c r="AO74" s="87"/>
      <c r="AP74" s="112">
        <f>+'[10]P 2-Salary '!$J$19</f>
        <v>14280</v>
      </c>
      <c r="AQ74" s="112">
        <f>+'[11]P 2-Salary '!$J$19</f>
        <v>14680</v>
      </c>
      <c r="AR74" s="87"/>
      <c r="AS74" s="87"/>
      <c r="AT74" s="87"/>
      <c r="AU74" s="3">
        <f t="shared" si="14"/>
        <v>53950</v>
      </c>
      <c r="AV74" s="109"/>
      <c r="AW74" s="109"/>
      <c r="AX74" s="96">
        <v>0</v>
      </c>
      <c r="AY74" s="98">
        <v>0</v>
      </c>
      <c r="AZ74" s="176"/>
      <c r="BA74" s="176"/>
      <c r="BB74" s="3">
        <f t="shared" si="17"/>
        <v>0</v>
      </c>
      <c r="BC74" s="35"/>
      <c r="BD74" s="35">
        <v>0</v>
      </c>
      <c r="BE74" s="35"/>
      <c r="BF74" s="35"/>
      <c r="BG74" s="35"/>
      <c r="BH74" s="35"/>
      <c r="BI74" s="73"/>
      <c r="BJ74" s="35"/>
      <c r="BL74">
        <f>+D74*5%</f>
        <v>2876.9224000000004</v>
      </c>
      <c r="BM74" s="91">
        <f>+BL74+D74</f>
        <v>60415.370400000007</v>
      </c>
      <c r="BP74" t="s">
        <v>12</v>
      </c>
    </row>
    <row r="75" spans="1:69" x14ac:dyDescent="0.25">
      <c r="A75" s="71">
        <v>72</v>
      </c>
      <c r="B75" s="95" t="s">
        <v>122</v>
      </c>
      <c r="C75" s="17">
        <v>24.038499999999999</v>
      </c>
      <c r="D75" s="65">
        <v>50000</v>
      </c>
      <c r="E75" s="113">
        <f t="shared" si="15"/>
        <v>50000</v>
      </c>
      <c r="F75" s="184">
        <f t="shared" si="19"/>
        <v>0</v>
      </c>
      <c r="G75" s="166"/>
      <c r="H75" s="166"/>
      <c r="I75" s="166"/>
      <c r="J75" s="166"/>
      <c r="K75" s="166"/>
      <c r="L75" s="166"/>
      <c r="M75" s="166"/>
      <c r="N75" s="96">
        <v>0</v>
      </c>
      <c r="O75" s="34">
        <f t="shared" si="16"/>
        <v>0</v>
      </c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>
        <v>0</v>
      </c>
      <c r="AA75" s="34">
        <f>SUM(P75:Z75)</f>
        <v>0</v>
      </c>
      <c r="AB75" s="87"/>
      <c r="AC75" s="87"/>
      <c r="AD75" s="87"/>
      <c r="AE75" s="88"/>
      <c r="AF75" s="87"/>
      <c r="AG75" s="87"/>
      <c r="AH75" s="88"/>
      <c r="AI75" s="88"/>
      <c r="AJ75" s="87"/>
      <c r="AK75" s="3">
        <f t="shared" si="12"/>
        <v>0</v>
      </c>
      <c r="AL75" s="88"/>
      <c r="AM75" s="87"/>
      <c r="AN75" s="87"/>
      <c r="AO75" s="87"/>
      <c r="AP75" s="87"/>
      <c r="AQ75" s="87"/>
      <c r="AR75" s="87"/>
      <c r="AS75" s="87"/>
      <c r="AT75" s="87"/>
      <c r="AU75" s="3">
        <f t="shared" si="14"/>
        <v>0</v>
      </c>
      <c r="AV75" s="109"/>
      <c r="AW75" s="109"/>
      <c r="AX75" s="168">
        <v>50000</v>
      </c>
      <c r="AY75" s="98">
        <v>0</v>
      </c>
      <c r="AZ75" s="176"/>
      <c r="BA75" s="176"/>
      <c r="BB75" s="3">
        <f t="shared" si="17"/>
        <v>50000</v>
      </c>
      <c r="BC75" s="35"/>
      <c r="BD75" s="35"/>
      <c r="BE75" s="35"/>
      <c r="BF75" s="35"/>
      <c r="BG75" s="35"/>
      <c r="BH75" s="35"/>
      <c r="BI75" s="73"/>
      <c r="BJ75" s="35"/>
      <c r="BM75" s="91"/>
      <c r="BQ75" t="s">
        <v>184</v>
      </c>
    </row>
    <row r="76" spans="1:69" x14ac:dyDescent="0.25">
      <c r="A76" s="71">
        <v>73</v>
      </c>
      <c r="B76" s="95" t="s">
        <v>168</v>
      </c>
      <c r="C76" s="17">
        <v>24.038499999999999</v>
      </c>
      <c r="D76" s="65">
        <f>+C76*1040</f>
        <v>25000.04</v>
      </c>
      <c r="E76" s="113">
        <f t="shared" si="15"/>
        <v>38125</v>
      </c>
      <c r="F76" s="184">
        <f t="shared" si="19"/>
        <v>13124.96</v>
      </c>
      <c r="G76" s="166"/>
      <c r="H76" s="166"/>
      <c r="I76" s="166"/>
      <c r="J76" s="166"/>
      <c r="K76" s="166"/>
      <c r="L76" s="166"/>
      <c r="M76" s="166"/>
      <c r="N76" s="96">
        <v>0</v>
      </c>
      <c r="O76" s="34">
        <f t="shared" si="16"/>
        <v>0</v>
      </c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>
        <v>0</v>
      </c>
      <c r="AA76" s="34">
        <f>SUM(P76:Z76)</f>
        <v>0</v>
      </c>
      <c r="AB76" s="87"/>
      <c r="AC76" s="87"/>
      <c r="AD76" s="87"/>
      <c r="AE76" s="88"/>
      <c r="AF76" s="87"/>
      <c r="AG76" s="87"/>
      <c r="AH76" s="88"/>
      <c r="AI76" s="88"/>
      <c r="AJ76" s="87"/>
      <c r="AK76" s="3">
        <f t="shared" si="12"/>
        <v>0</v>
      </c>
      <c r="AL76" s="88"/>
      <c r="AM76" s="87"/>
      <c r="AN76" s="87"/>
      <c r="AO76" s="87"/>
      <c r="AP76" s="87"/>
      <c r="AQ76" s="87"/>
      <c r="AR76" s="87"/>
      <c r="AS76" s="87"/>
      <c r="AT76" s="87"/>
      <c r="AU76" s="3">
        <f t="shared" si="14"/>
        <v>0</v>
      </c>
      <c r="AV76" s="109"/>
      <c r="AW76" s="109"/>
      <c r="AX76" s="168">
        <v>25000</v>
      </c>
      <c r="AY76" s="112">
        <v>13125</v>
      </c>
      <c r="AZ76" s="176"/>
      <c r="BA76" s="176"/>
      <c r="BB76" s="3">
        <f t="shared" si="17"/>
        <v>38125</v>
      </c>
      <c r="BC76" s="35"/>
      <c r="BD76" s="35"/>
      <c r="BE76" s="35"/>
      <c r="BF76" s="35"/>
      <c r="BG76" s="35"/>
      <c r="BH76" s="35"/>
      <c r="BI76" s="73"/>
      <c r="BJ76" s="35"/>
      <c r="BM76" s="91"/>
    </row>
    <row r="77" spans="1:69" x14ac:dyDescent="0.25">
      <c r="A77" s="71">
        <v>74</v>
      </c>
      <c r="B77" s="95" t="s">
        <v>169</v>
      </c>
      <c r="C77" s="17">
        <v>24.038499999999999</v>
      </c>
      <c r="D77" s="65">
        <f>+C77*1040</f>
        <v>25000.04</v>
      </c>
      <c r="E77" s="113">
        <f t="shared" si="15"/>
        <v>38125</v>
      </c>
      <c r="F77" s="184">
        <f t="shared" si="19"/>
        <v>13124.96</v>
      </c>
      <c r="G77" s="166"/>
      <c r="H77" s="166"/>
      <c r="I77" s="166"/>
      <c r="J77" s="166"/>
      <c r="K77" s="166"/>
      <c r="L77" s="166"/>
      <c r="M77" s="166"/>
      <c r="N77" s="96">
        <v>0</v>
      </c>
      <c r="O77" s="34">
        <f t="shared" si="16"/>
        <v>0</v>
      </c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>
        <v>0</v>
      </c>
      <c r="AA77" s="34">
        <f>SUM(P77:Z77)</f>
        <v>0</v>
      </c>
      <c r="AB77" s="87"/>
      <c r="AC77" s="87"/>
      <c r="AD77" s="87"/>
      <c r="AE77" s="88"/>
      <c r="AF77" s="87"/>
      <c r="AG77" s="87"/>
      <c r="AH77" s="88"/>
      <c r="AI77" s="88"/>
      <c r="AJ77" s="87"/>
      <c r="AK77" s="3">
        <f t="shared" si="12"/>
        <v>0</v>
      </c>
      <c r="AL77" s="88"/>
      <c r="AM77" s="87"/>
      <c r="AN77" s="87"/>
      <c r="AO77" s="87"/>
      <c r="AP77" s="87"/>
      <c r="AQ77" s="87"/>
      <c r="AR77" s="87"/>
      <c r="AS77" s="87"/>
      <c r="AT77" s="87"/>
      <c r="AU77" s="3"/>
      <c r="AV77" s="109"/>
      <c r="AW77" s="109"/>
      <c r="AX77" s="168">
        <v>25000</v>
      </c>
      <c r="AY77" s="112">
        <v>13125</v>
      </c>
      <c r="AZ77" s="176"/>
      <c r="BA77" s="176"/>
      <c r="BB77" s="3">
        <f t="shared" si="17"/>
        <v>38125</v>
      </c>
      <c r="BC77" s="35"/>
      <c r="BD77" s="35"/>
      <c r="BE77" s="35"/>
      <c r="BF77" s="35"/>
      <c r="BG77" s="35"/>
      <c r="BH77" s="35"/>
      <c r="BI77" s="73"/>
      <c r="BJ77" s="35"/>
      <c r="BM77" s="91"/>
    </row>
    <row r="78" spans="1:69" x14ac:dyDescent="0.25">
      <c r="A78" s="71">
        <v>75</v>
      </c>
      <c r="B78" s="95" t="s">
        <v>122</v>
      </c>
      <c r="C78" s="16">
        <f>52500/2080</f>
        <v>25.240384615384617</v>
      </c>
      <c r="D78" s="65">
        <f>+C78*2080</f>
        <v>52500</v>
      </c>
      <c r="E78" s="113">
        <f t="shared" si="15"/>
        <v>27500</v>
      </c>
      <c r="F78" s="179">
        <f t="shared" si="19"/>
        <v>-25000</v>
      </c>
      <c r="G78" s="166"/>
      <c r="H78" s="166"/>
      <c r="I78" s="166"/>
      <c r="J78" s="166"/>
      <c r="K78" s="166"/>
      <c r="L78" s="166"/>
      <c r="M78" s="166"/>
      <c r="N78" s="96">
        <v>0</v>
      </c>
      <c r="O78" s="34">
        <f t="shared" si="16"/>
        <v>0</v>
      </c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>
        <v>0</v>
      </c>
      <c r="AA78" s="34">
        <f>SUM(P78:Z78)</f>
        <v>0</v>
      </c>
      <c r="AB78" s="87"/>
      <c r="AC78" s="112">
        <v>27500</v>
      </c>
      <c r="AD78" s="87"/>
      <c r="AE78" s="88"/>
      <c r="AF78" s="87"/>
      <c r="AG78" s="87"/>
      <c r="AH78" s="88"/>
      <c r="AI78" s="88"/>
      <c r="AJ78" s="87"/>
      <c r="AK78" s="3">
        <f t="shared" si="12"/>
        <v>27500</v>
      </c>
      <c r="AL78" s="88"/>
      <c r="AM78" s="87"/>
      <c r="AN78" s="87"/>
      <c r="AO78" s="87"/>
      <c r="AP78" s="87"/>
      <c r="AQ78" s="87"/>
      <c r="AR78" s="87"/>
      <c r="AS78" s="87"/>
      <c r="AT78" s="87"/>
      <c r="AU78" s="3">
        <f t="shared" si="14"/>
        <v>0</v>
      </c>
      <c r="AV78" s="109"/>
      <c r="AW78" s="109"/>
      <c r="AX78" s="96">
        <v>0</v>
      </c>
      <c r="AY78" s="98">
        <v>0</v>
      </c>
      <c r="AZ78" s="176"/>
      <c r="BA78" s="176"/>
      <c r="BB78" s="3">
        <f t="shared" si="17"/>
        <v>0</v>
      </c>
      <c r="BC78" s="35"/>
      <c r="BD78" s="35"/>
      <c r="BE78" s="35"/>
      <c r="BF78" s="35"/>
      <c r="BG78" s="35"/>
      <c r="BH78" s="35"/>
      <c r="BI78" s="73"/>
      <c r="BJ78" s="35"/>
      <c r="BL78">
        <f>+D78*5%</f>
        <v>2625</v>
      </c>
      <c r="BM78" s="91">
        <f>+BL78+D78</f>
        <v>55125</v>
      </c>
    </row>
    <row r="79" spans="1:69" x14ac:dyDescent="0.25">
      <c r="A79" s="71">
        <v>76</v>
      </c>
      <c r="B79" s="95" t="s">
        <v>122</v>
      </c>
      <c r="C79" s="16">
        <f>+D79/2080</f>
        <v>25.240384615384617</v>
      </c>
      <c r="D79" s="65">
        <v>52500</v>
      </c>
      <c r="E79" s="113">
        <f t="shared" si="15"/>
        <v>52500</v>
      </c>
      <c r="F79" s="184">
        <f t="shared" si="19"/>
        <v>0</v>
      </c>
      <c r="G79" s="166"/>
      <c r="H79" s="166"/>
      <c r="I79" s="166"/>
      <c r="J79" s="166"/>
      <c r="K79" s="166"/>
      <c r="L79" s="166"/>
      <c r="M79" s="166"/>
      <c r="N79" s="96">
        <v>0</v>
      </c>
      <c r="O79" s="34">
        <f t="shared" si="16"/>
        <v>0</v>
      </c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>
        <v>0</v>
      </c>
      <c r="AA79" s="34">
        <f>SUM(P79:Z79)</f>
        <v>0</v>
      </c>
      <c r="AB79" s="87"/>
      <c r="AC79" s="87"/>
      <c r="AD79" s="87"/>
      <c r="AE79" s="88"/>
      <c r="AF79" s="112">
        <v>52500</v>
      </c>
      <c r="AG79" s="89">
        <v>0</v>
      </c>
      <c r="AH79" s="88">
        <v>0</v>
      </c>
      <c r="AI79" s="88">
        <v>0</v>
      </c>
      <c r="AJ79" s="87"/>
      <c r="AK79" s="3">
        <f t="shared" si="12"/>
        <v>52500</v>
      </c>
      <c r="AL79" s="88"/>
      <c r="AM79" s="87"/>
      <c r="AN79" s="87"/>
      <c r="AO79" s="87"/>
      <c r="AP79" s="87"/>
      <c r="AQ79" s="87"/>
      <c r="AR79" s="87"/>
      <c r="AS79" s="87"/>
      <c r="AT79" s="87"/>
      <c r="AU79" s="3">
        <f t="shared" si="14"/>
        <v>0</v>
      </c>
      <c r="AV79" s="109"/>
      <c r="AW79" s="109"/>
      <c r="AX79" s="96">
        <v>0</v>
      </c>
      <c r="AY79" s="98">
        <v>0</v>
      </c>
      <c r="AZ79" s="176"/>
      <c r="BA79" s="176"/>
      <c r="BB79" s="3">
        <f t="shared" si="17"/>
        <v>0</v>
      </c>
      <c r="BC79" s="35"/>
      <c r="BD79" s="35"/>
      <c r="BE79" s="35"/>
      <c r="BF79" s="35"/>
      <c r="BG79" s="35"/>
      <c r="BH79" s="35"/>
      <c r="BI79" s="73"/>
      <c r="BJ79" s="35"/>
      <c r="BL79">
        <f>+D79*5%</f>
        <v>2625</v>
      </c>
      <c r="BM79" s="91">
        <f>+BL79+D79</f>
        <v>55125</v>
      </c>
    </row>
    <row r="80" spans="1:69" x14ac:dyDescent="0.25">
      <c r="A80" s="71">
        <f t="shared" si="18"/>
        <v>77</v>
      </c>
      <c r="B80" s="95" t="s">
        <v>122</v>
      </c>
      <c r="C80" s="16">
        <f>+D80/2080</f>
        <v>25.240384615384617</v>
      </c>
      <c r="D80" s="65">
        <v>52500</v>
      </c>
      <c r="E80" s="113">
        <f t="shared" si="15"/>
        <v>52500</v>
      </c>
      <c r="F80" s="184">
        <f t="shared" si="19"/>
        <v>0</v>
      </c>
      <c r="G80" s="166"/>
      <c r="H80" s="166"/>
      <c r="I80" s="166"/>
      <c r="J80" s="166"/>
      <c r="K80" s="166"/>
      <c r="L80" s="166"/>
      <c r="M80" s="166"/>
      <c r="N80" s="96">
        <v>0</v>
      </c>
      <c r="O80" s="34">
        <f t="shared" si="16"/>
        <v>0</v>
      </c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>
        <v>0</v>
      </c>
      <c r="AA80" s="34">
        <f>SUM(P80:Z80)</f>
        <v>0</v>
      </c>
      <c r="AB80" s="87"/>
      <c r="AC80" s="87"/>
      <c r="AD80" s="112">
        <f>+'[12]G-2 Budget'!$E$20</f>
        <v>52500</v>
      </c>
      <c r="AE80" s="88"/>
      <c r="AF80" s="87"/>
      <c r="AG80" s="87"/>
      <c r="AH80" s="88"/>
      <c r="AI80" s="88"/>
      <c r="AJ80" s="87"/>
      <c r="AK80" s="3">
        <f t="shared" si="12"/>
        <v>52500</v>
      </c>
      <c r="AL80" s="88"/>
      <c r="AM80" s="87"/>
      <c r="AN80" s="87"/>
      <c r="AO80" s="87"/>
      <c r="AP80" s="87"/>
      <c r="AQ80" s="87"/>
      <c r="AR80" s="87"/>
      <c r="AS80" s="87"/>
      <c r="AT80" s="87"/>
      <c r="AU80" s="3">
        <f t="shared" si="14"/>
        <v>0</v>
      </c>
      <c r="AV80" s="109"/>
      <c r="AW80" s="109"/>
      <c r="AX80" s="96">
        <v>0</v>
      </c>
      <c r="AY80" s="98">
        <v>0</v>
      </c>
      <c r="AZ80" s="176"/>
      <c r="BA80" s="176"/>
      <c r="BB80" s="3">
        <f t="shared" si="17"/>
        <v>0</v>
      </c>
      <c r="BC80" s="35"/>
      <c r="BD80" s="35"/>
      <c r="BE80" s="35"/>
      <c r="BF80" s="35"/>
      <c r="BG80" s="35"/>
      <c r="BH80" s="35"/>
      <c r="BI80" s="73"/>
      <c r="BJ80" s="35"/>
      <c r="BL80">
        <f>+D80*5%</f>
        <v>2625</v>
      </c>
      <c r="BM80" s="91">
        <f>+BL80+D80</f>
        <v>55125</v>
      </c>
    </row>
    <row r="81" spans="1:68" x14ac:dyDescent="0.25">
      <c r="A81" s="71" t="e">
        <f>+#REF!+1</f>
        <v>#REF!</v>
      </c>
      <c r="B81" s="95" t="s">
        <v>122</v>
      </c>
      <c r="C81" s="16">
        <f>+D81/2080</f>
        <v>25.240384615384617</v>
      </c>
      <c r="D81" s="65">
        <v>52500</v>
      </c>
      <c r="E81" s="113">
        <f t="shared" si="15"/>
        <v>52500</v>
      </c>
      <c r="F81" s="184">
        <f t="shared" si="19"/>
        <v>0</v>
      </c>
      <c r="G81" s="166"/>
      <c r="H81" s="166"/>
      <c r="I81" s="166"/>
      <c r="J81" s="166"/>
      <c r="K81" s="166"/>
      <c r="L81" s="166"/>
      <c r="M81" s="166"/>
      <c r="N81" s="96">
        <v>0</v>
      </c>
      <c r="O81" s="34">
        <f t="shared" si="16"/>
        <v>0</v>
      </c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>
        <v>0</v>
      </c>
      <c r="AA81" s="34">
        <f>SUM(P81:Z81)</f>
        <v>0</v>
      </c>
      <c r="AB81" s="87"/>
      <c r="AC81" s="87"/>
      <c r="AD81" s="87"/>
      <c r="AE81" s="112">
        <v>52500</v>
      </c>
      <c r="AF81" s="87"/>
      <c r="AG81" s="87"/>
      <c r="AH81" s="88"/>
      <c r="AI81" s="88"/>
      <c r="AJ81" s="87"/>
      <c r="AK81" s="3">
        <f t="shared" si="12"/>
        <v>52500</v>
      </c>
      <c r="AL81" s="88"/>
      <c r="AM81" s="87"/>
      <c r="AN81" s="87"/>
      <c r="AO81" s="87"/>
      <c r="AP81" s="87"/>
      <c r="AQ81" s="87"/>
      <c r="AR81" s="87"/>
      <c r="AS81" s="87"/>
      <c r="AT81" s="87"/>
      <c r="AU81" s="3">
        <f t="shared" si="14"/>
        <v>0</v>
      </c>
      <c r="AV81" s="109"/>
      <c r="AW81" s="109"/>
      <c r="AX81" s="96">
        <v>0</v>
      </c>
      <c r="AY81" s="98">
        <v>0</v>
      </c>
      <c r="AZ81" s="176"/>
      <c r="BA81" s="176"/>
      <c r="BB81" s="3">
        <f t="shared" si="17"/>
        <v>0</v>
      </c>
      <c r="BC81" s="35"/>
      <c r="BD81" s="35"/>
      <c r="BE81" s="35"/>
      <c r="BF81" s="35"/>
      <c r="BG81" s="35"/>
      <c r="BH81" s="35"/>
      <c r="BI81" s="73"/>
      <c r="BJ81" s="35"/>
      <c r="BL81">
        <f>+D81*5%</f>
        <v>2625</v>
      </c>
      <c r="BM81" s="91">
        <f>+BL81+D81</f>
        <v>55125</v>
      </c>
    </row>
    <row r="82" spans="1:68" x14ac:dyDescent="0.25">
      <c r="A82" s="71"/>
      <c r="B82" s="67" t="s">
        <v>185</v>
      </c>
      <c r="C82" s="16">
        <v>24.038499999999999</v>
      </c>
      <c r="D82" s="65">
        <f>+C82*800</f>
        <v>19230.8</v>
      </c>
      <c r="E82" s="113">
        <f t="shared" si="15"/>
        <v>24269.29</v>
      </c>
      <c r="F82" s="184">
        <f t="shared" si="19"/>
        <v>5038.4900000000016</v>
      </c>
      <c r="G82" s="166"/>
      <c r="H82" s="166"/>
      <c r="I82" s="166"/>
      <c r="J82" s="166"/>
      <c r="K82" s="166"/>
      <c r="L82" s="166"/>
      <c r="M82" s="166"/>
      <c r="N82" s="96">
        <v>0</v>
      </c>
      <c r="O82" s="34">
        <f t="shared" si="16"/>
        <v>0</v>
      </c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>
        <v>0</v>
      </c>
      <c r="AA82" s="34">
        <f>SUM(P82:Z82)</f>
        <v>0</v>
      </c>
      <c r="AB82" s="87"/>
      <c r="AC82" s="87"/>
      <c r="AD82" s="87"/>
      <c r="AE82" s="89"/>
      <c r="AF82" s="87"/>
      <c r="AG82" s="87"/>
      <c r="AH82" s="88"/>
      <c r="AI82" s="88"/>
      <c r="AJ82" s="87"/>
      <c r="AK82" s="3">
        <f t="shared" si="12"/>
        <v>0</v>
      </c>
      <c r="AL82" s="88"/>
      <c r="AM82" s="87"/>
      <c r="AN82" s="87"/>
      <c r="AO82" s="87"/>
      <c r="AP82" s="87"/>
      <c r="AQ82" s="87"/>
      <c r="AR82" s="87"/>
      <c r="AS82" s="87"/>
      <c r="AT82" s="87"/>
      <c r="AU82" s="3"/>
      <c r="AV82" s="109"/>
      <c r="AW82" s="109"/>
      <c r="AX82" s="96">
        <v>0</v>
      </c>
      <c r="AY82" s="98">
        <v>0</v>
      </c>
      <c r="AZ82" s="177">
        <v>18269.29</v>
      </c>
      <c r="BA82" s="176">
        <v>0</v>
      </c>
      <c r="BB82" s="3">
        <f t="shared" si="17"/>
        <v>18269.29</v>
      </c>
      <c r="BC82" s="35"/>
      <c r="BD82" s="73">
        <v>6000</v>
      </c>
      <c r="BE82" s="35"/>
      <c r="BF82" s="35"/>
      <c r="BG82" s="35"/>
      <c r="BH82" s="35"/>
      <c r="BI82" s="73"/>
      <c r="BJ82" s="35"/>
      <c r="BL82">
        <f>+D82*5%</f>
        <v>961.54</v>
      </c>
      <c r="BM82" s="91">
        <f>+BL82+D82</f>
        <v>20192.34</v>
      </c>
      <c r="BO82" s="30" t="s">
        <v>12</v>
      </c>
      <c r="BP82" t="s">
        <v>12</v>
      </c>
    </row>
    <row r="83" spans="1:68" x14ac:dyDescent="0.25">
      <c r="A83" s="71"/>
      <c r="B83" s="95" t="s">
        <v>122</v>
      </c>
      <c r="C83" s="16"/>
      <c r="D83" s="65"/>
      <c r="E83" s="113">
        <f t="shared" si="15"/>
        <v>41475</v>
      </c>
      <c r="F83" s="184">
        <f t="shared" si="19"/>
        <v>41475</v>
      </c>
      <c r="G83" s="166"/>
      <c r="H83" s="166"/>
      <c r="I83" s="166"/>
      <c r="J83" s="166"/>
      <c r="K83" s="166"/>
      <c r="L83" s="166">
        <v>13125</v>
      </c>
      <c r="M83" s="166">
        <v>15225</v>
      </c>
      <c r="N83" s="96">
        <v>13125</v>
      </c>
      <c r="O83" s="34">
        <f t="shared" si="16"/>
        <v>41475</v>
      </c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34">
        <f>SUM(P83:Z83)</f>
        <v>0</v>
      </c>
      <c r="AB83" s="87"/>
      <c r="AC83" s="87"/>
      <c r="AD83" s="87"/>
      <c r="AE83" s="89"/>
      <c r="AF83" s="87"/>
      <c r="AG83" s="87"/>
      <c r="AH83" s="88"/>
      <c r="AI83" s="88"/>
      <c r="AJ83" s="87"/>
      <c r="AK83" s="3">
        <f t="shared" si="12"/>
        <v>0</v>
      </c>
      <c r="AL83" s="88"/>
      <c r="AM83" s="87"/>
      <c r="AN83" s="87"/>
      <c r="AO83" s="87"/>
      <c r="AP83" s="87"/>
      <c r="AQ83" s="87"/>
      <c r="AR83" s="87"/>
      <c r="AS83" s="87"/>
      <c r="AT83" s="87"/>
      <c r="AU83" s="3"/>
      <c r="AV83" s="109"/>
      <c r="AW83" s="109"/>
      <c r="AX83" s="96"/>
      <c r="AY83" s="98"/>
      <c r="AZ83" s="177"/>
      <c r="BA83" s="176"/>
      <c r="BB83" s="3">
        <f t="shared" si="17"/>
        <v>0</v>
      </c>
      <c r="BC83" s="35"/>
      <c r="BD83" s="73"/>
      <c r="BE83" s="35"/>
      <c r="BF83" s="35"/>
      <c r="BG83" s="35"/>
      <c r="BH83" s="35"/>
      <c r="BI83" s="73"/>
      <c r="BJ83" s="35"/>
      <c r="BM83" s="91"/>
      <c r="BO83" s="30"/>
    </row>
    <row r="84" spans="1:68" x14ac:dyDescent="0.25">
      <c r="A84" s="71"/>
      <c r="B84" s="95" t="s">
        <v>122</v>
      </c>
      <c r="C84" s="16"/>
      <c r="D84" s="65"/>
      <c r="E84" s="113">
        <f t="shared" si="15"/>
        <v>26375</v>
      </c>
      <c r="F84" s="184">
        <f t="shared" si="19"/>
        <v>26375</v>
      </c>
      <c r="G84" s="166"/>
      <c r="H84" s="166">
        <v>26375</v>
      </c>
      <c r="I84" s="166"/>
      <c r="J84" s="166"/>
      <c r="K84" s="166"/>
      <c r="L84" s="166"/>
      <c r="M84" s="166"/>
      <c r="N84" s="96"/>
      <c r="O84" s="34">
        <f t="shared" si="16"/>
        <v>26375</v>
      </c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34">
        <f>SUM(P84:Z84)</f>
        <v>0</v>
      </c>
      <c r="AB84" s="87"/>
      <c r="AC84" s="87"/>
      <c r="AD84" s="87"/>
      <c r="AE84" s="89"/>
      <c r="AF84" s="87"/>
      <c r="AG84" s="87"/>
      <c r="AH84" s="88"/>
      <c r="AI84" s="88"/>
      <c r="AJ84" s="87"/>
      <c r="AK84" s="3">
        <f t="shared" si="12"/>
        <v>0</v>
      </c>
      <c r="AL84" s="88"/>
      <c r="AM84" s="87"/>
      <c r="AN84" s="87"/>
      <c r="AO84" s="87"/>
      <c r="AP84" s="87"/>
      <c r="AQ84" s="87"/>
      <c r="AR84" s="87"/>
      <c r="AS84" s="87"/>
      <c r="AT84" s="87"/>
      <c r="AU84" s="3"/>
      <c r="AV84" s="109"/>
      <c r="AW84" s="109"/>
      <c r="AX84" s="96"/>
      <c r="AY84" s="98"/>
      <c r="AZ84" s="177"/>
      <c r="BA84" s="176"/>
      <c r="BB84" s="3">
        <f t="shared" si="17"/>
        <v>0</v>
      </c>
      <c r="BC84" s="35"/>
      <c r="BD84" s="73"/>
      <c r="BE84" s="35"/>
      <c r="BF84" s="35"/>
      <c r="BG84" s="35"/>
      <c r="BH84" s="35"/>
      <c r="BI84" s="73"/>
      <c r="BJ84" s="35"/>
      <c r="BM84" s="91"/>
      <c r="BO84" s="30"/>
    </row>
    <row r="85" spans="1:68" x14ac:dyDescent="0.25">
      <c r="A85" s="71"/>
      <c r="B85" s="95" t="s">
        <v>228</v>
      </c>
      <c r="C85" s="16"/>
      <c r="D85" s="65"/>
      <c r="E85" s="113">
        <f t="shared" si="15"/>
        <v>63700</v>
      </c>
      <c r="F85" s="184">
        <f t="shared" si="19"/>
        <v>63700</v>
      </c>
      <c r="G85" s="166"/>
      <c r="H85" s="166"/>
      <c r="I85" s="166"/>
      <c r="J85" s="166"/>
      <c r="K85" s="166"/>
      <c r="L85" s="166"/>
      <c r="M85" s="166"/>
      <c r="N85" s="96"/>
      <c r="O85" s="34">
        <f t="shared" si="16"/>
        <v>0</v>
      </c>
      <c r="P85" s="98"/>
      <c r="Q85" s="98">
        <v>4550</v>
      </c>
      <c r="R85" s="98">
        <v>5850</v>
      </c>
      <c r="S85" s="98"/>
      <c r="T85" s="98"/>
      <c r="U85" s="98"/>
      <c r="V85" s="98"/>
      <c r="W85" s="98">
        <v>16250</v>
      </c>
      <c r="X85" s="98">
        <v>20800</v>
      </c>
      <c r="Y85" s="98">
        <v>16250</v>
      </c>
      <c r="Z85" s="98"/>
      <c r="AA85" s="34">
        <f>SUM(P85:Z85)</f>
        <v>63700</v>
      </c>
      <c r="AB85" s="87"/>
      <c r="AC85" s="87"/>
      <c r="AD85" s="87"/>
      <c r="AE85" s="89"/>
      <c r="AF85" s="87"/>
      <c r="AG85" s="87"/>
      <c r="AH85" s="88"/>
      <c r="AI85" s="88"/>
      <c r="AJ85" s="87"/>
      <c r="AK85" s="3">
        <f t="shared" si="12"/>
        <v>0</v>
      </c>
      <c r="AL85" s="88"/>
      <c r="AM85" s="87"/>
      <c r="AN85" s="87"/>
      <c r="AO85" s="87"/>
      <c r="AP85" s="87"/>
      <c r="AQ85" s="87"/>
      <c r="AR85" s="87"/>
      <c r="AS85" s="87"/>
      <c r="AT85" s="87"/>
      <c r="AU85" s="3"/>
      <c r="AV85" s="109"/>
      <c r="AW85" s="109"/>
      <c r="AX85" s="96"/>
      <c r="AY85" s="98"/>
      <c r="AZ85" s="177"/>
      <c r="BA85" s="176"/>
      <c r="BB85" s="3">
        <f t="shared" si="17"/>
        <v>0</v>
      </c>
      <c r="BC85" s="35"/>
      <c r="BD85" s="73"/>
      <c r="BE85" s="35"/>
      <c r="BF85" s="35"/>
      <c r="BG85" s="35"/>
      <c r="BH85" s="35"/>
      <c r="BI85" s="73"/>
      <c r="BJ85" s="35"/>
      <c r="BM85" s="91"/>
      <c r="BO85" s="30"/>
    </row>
    <row r="86" spans="1:68" x14ac:dyDescent="0.25">
      <c r="A86" s="71"/>
      <c r="B86" s="95" t="s">
        <v>122</v>
      </c>
      <c r="C86" s="16"/>
      <c r="D86" s="65"/>
      <c r="E86" s="113">
        <f t="shared" si="15"/>
        <v>50000</v>
      </c>
      <c r="F86" s="184">
        <f t="shared" si="19"/>
        <v>50000</v>
      </c>
      <c r="G86" s="166"/>
      <c r="H86" s="166"/>
      <c r="I86" s="166"/>
      <c r="J86" s="166"/>
      <c r="K86" s="166"/>
      <c r="L86" s="166"/>
      <c r="M86" s="166"/>
      <c r="N86" s="96"/>
      <c r="O86" s="34">
        <f t="shared" si="16"/>
        <v>0</v>
      </c>
      <c r="P86" s="98"/>
      <c r="Q86" s="98"/>
      <c r="R86" s="98"/>
      <c r="S86" s="98"/>
      <c r="T86" s="98">
        <v>50000</v>
      </c>
      <c r="U86" s="98"/>
      <c r="V86" s="98"/>
      <c r="W86" s="98"/>
      <c r="X86" s="98"/>
      <c r="Y86" s="98"/>
      <c r="Z86" s="98"/>
      <c r="AA86" s="34">
        <f>SUM(P86:Z86)</f>
        <v>50000</v>
      </c>
      <c r="AB86" s="87"/>
      <c r="AC86" s="87"/>
      <c r="AD86" s="87"/>
      <c r="AE86" s="89"/>
      <c r="AF86" s="87"/>
      <c r="AG86" s="87"/>
      <c r="AH86" s="88"/>
      <c r="AI86" s="88"/>
      <c r="AJ86" s="87"/>
      <c r="AK86" s="3">
        <f t="shared" si="12"/>
        <v>0</v>
      </c>
      <c r="AL86" s="88"/>
      <c r="AM86" s="87"/>
      <c r="AN86" s="87"/>
      <c r="AO86" s="87"/>
      <c r="AP86" s="87"/>
      <c r="AQ86" s="87"/>
      <c r="AR86" s="87"/>
      <c r="AS86" s="87"/>
      <c r="AT86" s="87"/>
      <c r="AU86" s="3"/>
      <c r="AV86" s="109"/>
      <c r="AW86" s="109"/>
      <c r="AX86" s="96"/>
      <c r="AY86" s="98"/>
      <c r="AZ86" s="177"/>
      <c r="BA86" s="176"/>
      <c r="BB86" s="3">
        <f t="shared" si="17"/>
        <v>0</v>
      </c>
      <c r="BC86" s="35"/>
      <c r="BD86" s="73"/>
      <c r="BE86" s="35"/>
      <c r="BF86" s="35"/>
      <c r="BG86" s="35"/>
      <c r="BH86" s="35"/>
      <c r="BI86" s="73"/>
      <c r="BJ86" s="35"/>
      <c r="BM86" s="91"/>
      <c r="BO86" s="30"/>
    </row>
    <row r="87" spans="1:68" x14ac:dyDescent="0.25">
      <c r="A87" s="71"/>
      <c r="B87" s="95" t="s">
        <v>122</v>
      </c>
      <c r="C87" s="16"/>
      <c r="D87" s="65"/>
      <c r="E87" s="113">
        <f t="shared" si="15"/>
        <v>1300</v>
      </c>
      <c r="F87" s="184">
        <f t="shared" si="19"/>
        <v>1300</v>
      </c>
      <c r="G87" s="166"/>
      <c r="H87" s="166"/>
      <c r="I87" s="166"/>
      <c r="J87" s="166"/>
      <c r="K87" s="166"/>
      <c r="L87" s="166"/>
      <c r="M87" s="166"/>
      <c r="N87" s="96"/>
      <c r="O87" s="34">
        <f t="shared" si="16"/>
        <v>0</v>
      </c>
      <c r="P87" s="98"/>
      <c r="Q87" s="98"/>
      <c r="R87" s="98"/>
      <c r="S87" s="98"/>
      <c r="T87" s="98">
        <v>1300</v>
      </c>
      <c r="U87" s="98"/>
      <c r="V87" s="98"/>
      <c r="W87" s="98"/>
      <c r="X87" s="98"/>
      <c r="Y87" s="98"/>
      <c r="Z87" s="98"/>
      <c r="AA87" s="34">
        <f>SUM(P87:Z87)</f>
        <v>1300</v>
      </c>
      <c r="AB87" s="87"/>
      <c r="AC87" s="87"/>
      <c r="AD87" s="87"/>
      <c r="AE87" s="89"/>
      <c r="AF87" s="87"/>
      <c r="AG87" s="87"/>
      <c r="AH87" s="88"/>
      <c r="AI87" s="89">
        <v>0</v>
      </c>
      <c r="AJ87" s="87"/>
      <c r="AK87" s="3">
        <f t="shared" si="12"/>
        <v>0</v>
      </c>
      <c r="AL87" s="88"/>
      <c r="AM87" s="87"/>
      <c r="AN87" s="87"/>
      <c r="AO87" s="87"/>
      <c r="AP87" s="87"/>
      <c r="AQ87" s="87"/>
      <c r="AR87" s="87"/>
      <c r="AS87" s="87"/>
      <c r="AT87" s="87"/>
      <c r="AU87" s="3"/>
      <c r="AV87" s="109"/>
      <c r="AW87" s="109"/>
      <c r="AX87" s="96"/>
      <c r="AY87" s="98"/>
      <c r="AZ87" s="177"/>
      <c r="BA87" s="176"/>
      <c r="BB87" s="3">
        <f t="shared" si="17"/>
        <v>0</v>
      </c>
      <c r="BC87" s="35"/>
      <c r="BD87" s="73"/>
      <c r="BE87" s="35"/>
      <c r="BF87" s="35"/>
      <c r="BG87" s="35"/>
      <c r="BH87" s="35"/>
      <c r="BI87" s="73"/>
      <c r="BJ87" s="35"/>
      <c r="BM87" s="91"/>
      <c r="BO87" s="30"/>
    </row>
    <row r="88" spans="1:68" x14ac:dyDescent="0.25">
      <c r="A88" s="71"/>
      <c r="B88" s="95" t="s">
        <v>122</v>
      </c>
      <c r="C88" s="16"/>
      <c r="D88" s="65"/>
      <c r="E88" s="113">
        <f t="shared" si="15"/>
        <v>0</v>
      </c>
      <c r="F88" s="184">
        <f t="shared" si="19"/>
        <v>0</v>
      </c>
      <c r="G88" s="166"/>
      <c r="H88" s="166"/>
      <c r="I88" s="166"/>
      <c r="J88" s="166"/>
      <c r="K88" s="166"/>
      <c r="L88" s="166"/>
      <c r="M88" s="166"/>
      <c r="N88" s="96"/>
      <c r="O88" s="34">
        <f t="shared" si="16"/>
        <v>0</v>
      </c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34">
        <f>SUM(P88:Z88)</f>
        <v>0</v>
      </c>
      <c r="AB88" s="87"/>
      <c r="AC88" s="87"/>
      <c r="AD88" s="87"/>
      <c r="AE88" s="89"/>
      <c r="AF88" s="87"/>
      <c r="AG88" s="87"/>
      <c r="AH88" s="88"/>
      <c r="AI88" s="89">
        <v>0</v>
      </c>
      <c r="AJ88" s="87"/>
      <c r="AK88" s="3">
        <f t="shared" si="12"/>
        <v>0</v>
      </c>
      <c r="AL88" s="88"/>
      <c r="AM88" s="87"/>
      <c r="AN88" s="87"/>
      <c r="AO88" s="87"/>
      <c r="AP88" s="87"/>
      <c r="AQ88" s="87"/>
      <c r="AR88" s="87"/>
      <c r="AS88" s="87"/>
      <c r="AT88" s="87"/>
      <c r="AU88" s="3"/>
      <c r="AV88" s="109"/>
      <c r="AW88" s="109"/>
      <c r="AX88" s="96"/>
      <c r="AY88" s="98"/>
      <c r="AZ88" s="177"/>
      <c r="BA88" s="176"/>
      <c r="BB88" s="3">
        <f t="shared" si="17"/>
        <v>0</v>
      </c>
      <c r="BC88" s="35"/>
      <c r="BD88" s="73"/>
      <c r="BE88" s="35"/>
      <c r="BF88" s="35"/>
      <c r="BG88" s="35"/>
      <c r="BH88" s="35"/>
      <c r="BI88" s="73"/>
      <c r="BJ88" s="35"/>
      <c r="BM88" s="91"/>
      <c r="BO88" s="30"/>
    </row>
    <row r="89" spans="1:68" x14ac:dyDescent="0.25">
      <c r="A89" s="71" t="e">
        <f>+A81+1</f>
        <v>#REF!</v>
      </c>
      <c r="B89" s="95" t="str">
        <f>+B81</f>
        <v>TBH - Case Manager</v>
      </c>
      <c r="C89" s="16">
        <f>+D89/2080</f>
        <v>25.240384615384617</v>
      </c>
      <c r="D89" s="65">
        <v>52500</v>
      </c>
      <c r="E89" s="113">
        <f t="shared" si="15"/>
        <v>52500</v>
      </c>
      <c r="F89" s="184">
        <f t="shared" si="19"/>
        <v>0</v>
      </c>
      <c r="G89" s="166"/>
      <c r="H89" s="166"/>
      <c r="I89" s="166"/>
      <c r="J89" s="166"/>
      <c r="K89" s="166"/>
      <c r="L89" s="166"/>
      <c r="M89" s="166"/>
      <c r="N89" s="96">
        <v>0</v>
      </c>
      <c r="O89" s="34">
        <f t="shared" si="16"/>
        <v>0</v>
      </c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>
        <v>0</v>
      </c>
      <c r="AA89" s="34">
        <f>SUM(P89:Z89)</f>
        <v>0</v>
      </c>
      <c r="AB89" s="87"/>
      <c r="AC89" s="87"/>
      <c r="AD89" s="87"/>
      <c r="AE89" s="112">
        <v>52500</v>
      </c>
      <c r="AF89" s="87"/>
      <c r="AG89" s="87"/>
      <c r="AH89" s="88"/>
      <c r="AI89" s="88"/>
      <c r="AJ89" s="87"/>
      <c r="AK89" s="3">
        <f t="shared" ref="AK89:AK93" si="20">SUM(AB89:AJ89)</f>
        <v>52500</v>
      </c>
      <c r="AL89" s="88"/>
      <c r="AM89" s="87"/>
      <c r="AN89" s="87"/>
      <c r="AO89" s="87"/>
      <c r="AP89" s="87"/>
      <c r="AQ89" s="87"/>
      <c r="AR89" s="87"/>
      <c r="AS89" s="87"/>
      <c r="AT89" s="87"/>
      <c r="AU89" s="3">
        <f t="shared" si="14"/>
        <v>0</v>
      </c>
      <c r="AV89" s="109"/>
      <c r="AW89" s="109"/>
      <c r="AX89" s="96">
        <v>0</v>
      </c>
      <c r="AY89" s="98">
        <v>0</v>
      </c>
      <c r="AZ89" s="176"/>
      <c r="BA89" s="176"/>
      <c r="BB89" s="3">
        <f t="shared" si="17"/>
        <v>0</v>
      </c>
      <c r="BC89" s="35"/>
      <c r="BD89" s="35"/>
      <c r="BE89" s="35"/>
      <c r="BF89" s="35"/>
      <c r="BG89" s="35"/>
      <c r="BH89" s="35"/>
      <c r="BI89" s="73"/>
      <c r="BJ89" s="35"/>
      <c r="BM89" s="91"/>
    </row>
    <row r="90" spans="1:68" x14ac:dyDescent="0.25">
      <c r="A90" s="71" t="e">
        <f t="shared" si="18"/>
        <v>#REF!</v>
      </c>
      <c r="B90" s="122" t="s">
        <v>167</v>
      </c>
      <c r="C90" s="16">
        <v>25.600999999999999</v>
      </c>
      <c r="D90" s="65">
        <f>+C90*2080</f>
        <v>53250.080000000002</v>
      </c>
      <c r="E90" s="113">
        <f t="shared" si="15"/>
        <v>55912</v>
      </c>
      <c r="F90" s="184">
        <f t="shared" si="19"/>
        <v>2661.9199999999983</v>
      </c>
      <c r="G90" s="166"/>
      <c r="H90" s="166"/>
      <c r="I90" s="166"/>
      <c r="J90" s="166"/>
      <c r="K90" s="166"/>
      <c r="L90" s="166"/>
      <c r="M90" s="166"/>
      <c r="N90" s="96">
        <v>0</v>
      </c>
      <c r="O90" s="34">
        <f t="shared" si="16"/>
        <v>0</v>
      </c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>
        <v>0</v>
      </c>
      <c r="AA90" s="34">
        <f>SUM(P90:Z90)</f>
        <v>0</v>
      </c>
      <c r="AB90" s="87"/>
      <c r="AC90" s="87"/>
      <c r="AD90" s="87"/>
      <c r="AE90" s="88"/>
      <c r="AF90" s="87"/>
      <c r="AG90" s="87"/>
      <c r="AH90" s="88"/>
      <c r="AI90" s="88"/>
      <c r="AJ90" s="87"/>
      <c r="AK90" s="3">
        <f t="shared" si="20"/>
        <v>0</v>
      </c>
      <c r="AL90" s="88"/>
      <c r="AM90" s="87"/>
      <c r="AN90" s="87"/>
      <c r="AO90" s="88">
        <f>+'[2]P 2-Salary '!$J$25</f>
        <v>55912</v>
      </c>
      <c r="AP90" s="87"/>
      <c r="AQ90" s="87"/>
      <c r="AR90" s="87"/>
      <c r="AS90" s="87"/>
      <c r="AT90" s="87"/>
      <c r="AU90" s="3">
        <f t="shared" si="14"/>
        <v>55912</v>
      </c>
      <c r="AV90" s="109"/>
      <c r="AW90" s="109"/>
      <c r="AX90" s="96">
        <v>0</v>
      </c>
      <c r="AY90" s="98">
        <v>0</v>
      </c>
      <c r="AZ90" s="176"/>
      <c r="BA90" s="176"/>
      <c r="BB90" s="3">
        <f t="shared" si="17"/>
        <v>0</v>
      </c>
      <c r="BC90" s="35"/>
      <c r="BD90" s="35"/>
      <c r="BE90" s="35"/>
      <c r="BF90" s="35"/>
      <c r="BG90" s="35"/>
      <c r="BH90" s="35"/>
      <c r="BI90" s="73"/>
      <c r="BJ90" s="35"/>
      <c r="BM90" s="91"/>
    </row>
    <row r="91" spans="1:68" x14ac:dyDescent="0.25">
      <c r="A91" s="71" t="e">
        <f>+#REF!+1</f>
        <v>#REF!</v>
      </c>
      <c r="B91" s="95" t="s">
        <v>186</v>
      </c>
      <c r="C91" s="16">
        <v>24.038499999999999</v>
      </c>
      <c r="D91" s="65">
        <f>+C91*2080</f>
        <v>50000.08</v>
      </c>
      <c r="E91" s="113">
        <f t="shared" si="15"/>
        <v>62062</v>
      </c>
      <c r="F91" s="184">
        <f t="shared" si="19"/>
        <v>12061.919999999998</v>
      </c>
      <c r="G91" s="166"/>
      <c r="H91" s="166"/>
      <c r="I91" s="166"/>
      <c r="J91" s="166"/>
      <c r="K91" s="166"/>
      <c r="L91" s="166"/>
      <c r="M91" s="166"/>
      <c r="N91" s="96">
        <v>0</v>
      </c>
      <c r="O91" s="34">
        <f t="shared" si="16"/>
        <v>0</v>
      </c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>
        <v>0</v>
      </c>
      <c r="AA91" s="34">
        <f>SUM(P91:Z91)</f>
        <v>0</v>
      </c>
      <c r="AB91" s="87">
        <v>0</v>
      </c>
      <c r="AC91" s="87">
        <v>0</v>
      </c>
      <c r="AD91" s="87">
        <v>0</v>
      </c>
      <c r="AE91" s="88">
        <v>0</v>
      </c>
      <c r="AF91" s="87">
        <v>0</v>
      </c>
      <c r="AG91" s="87"/>
      <c r="AH91" s="88">
        <v>0</v>
      </c>
      <c r="AI91" s="88"/>
      <c r="AJ91" s="87">
        <v>0</v>
      </c>
      <c r="AK91" s="3">
        <f t="shared" si="20"/>
        <v>0</v>
      </c>
      <c r="AL91" s="88"/>
      <c r="AM91" s="87"/>
      <c r="AN91" s="87"/>
      <c r="AO91" s="112">
        <v>62062</v>
      </c>
      <c r="AP91" s="87"/>
      <c r="AQ91" s="87"/>
      <c r="AR91" s="87"/>
      <c r="AS91" s="87"/>
      <c r="AT91" s="87"/>
      <c r="AU91" s="3">
        <f t="shared" si="14"/>
        <v>62062</v>
      </c>
      <c r="AV91" s="109"/>
      <c r="AW91" s="109"/>
      <c r="AX91" s="96">
        <v>0</v>
      </c>
      <c r="AY91" s="98">
        <v>0</v>
      </c>
      <c r="AZ91" s="176"/>
      <c r="BA91" s="176"/>
      <c r="BB91" s="3">
        <f t="shared" si="17"/>
        <v>0</v>
      </c>
      <c r="BC91" s="35"/>
      <c r="BD91" s="35"/>
      <c r="BE91" s="35"/>
      <c r="BF91" s="35"/>
      <c r="BG91" s="35"/>
      <c r="BH91" s="35"/>
      <c r="BI91" s="73">
        <v>0</v>
      </c>
      <c r="BJ91" s="35"/>
      <c r="BM91" s="91"/>
    </row>
    <row r="92" spans="1:68" x14ac:dyDescent="0.25">
      <c r="A92" s="71">
        <v>84</v>
      </c>
      <c r="B92" s="95" t="s">
        <v>123</v>
      </c>
      <c r="C92" s="16">
        <f>+D92/2080</f>
        <v>25.240384615384617</v>
      </c>
      <c r="D92" s="65">
        <v>52500</v>
      </c>
      <c r="E92" s="113">
        <f t="shared" si="15"/>
        <v>52500</v>
      </c>
      <c r="F92" s="184">
        <f t="shared" si="19"/>
        <v>0</v>
      </c>
      <c r="G92" s="166"/>
      <c r="H92" s="166"/>
      <c r="I92" s="166"/>
      <c r="J92" s="166"/>
      <c r="K92" s="166"/>
      <c r="L92" s="166"/>
      <c r="M92" s="166"/>
      <c r="N92" s="96">
        <v>0</v>
      </c>
      <c r="O92" s="34">
        <f t="shared" si="16"/>
        <v>0</v>
      </c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>
        <v>0</v>
      </c>
      <c r="AA92" s="34">
        <f>SUM(P92:Z92)</f>
        <v>0</v>
      </c>
      <c r="AB92" s="87"/>
      <c r="AC92" s="87"/>
      <c r="AD92" s="112">
        <f>+'[12]G-2 Budget'!$E$27</f>
        <v>52500</v>
      </c>
      <c r="AE92" s="88"/>
      <c r="AF92" s="87"/>
      <c r="AG92" s="87"/>
      <c r="AH92" s="88"/>
      <c r="AI92" s="88"/>
      <c r="AJ92" s="87"/>
      <c r="AK92" s="3">
        <f t="shared" si="20"/>
        <v>52500</v>
      </c>
      <c r="AL92" s="89"/>
      <c r="AM92" s="87"/>
      <c r="AN92" s="87"/>
      <c r="AO92" s="87"/>
      <c r="AP92" s="87"/>
      <c r="AQ92" s="87"/>
      <c r="AR92" s="87"/>
      <c r="AS92" s="87"/>
      <c r="AT92" s="87"/>
      <c r="AU92" s="3">
        <f t="shared" si="14"/>
        <v>0</v>
      </c>
      <c r="AV92" s="109"/>
      <c r="AW92" s="109"/>
      <c r="AX92" s="96">
        <v>0</v>
      </c>
      <c r="AY92" s="98">
        <v>0</v>
      </c>
      <c r="AZ92" s="176"/>
      <c r="BA92" s="176"/>
      <c r="BB92" s="3">
        <f t="shared" si="17"/>
        <v>0</v>
      </c>
      <c r="BC92" s="35"/>
      <c r="BD92" s="35"/>
      <c r="BE92" s="35"/>
      <c r="BF92" s="35"/>
      <c r="BG92" s="35"/>
      <c r="BH92" s="35"/>
      <c r="BI92" s="73"/>
      <c r="BJ92" s="35"/>
      <c r="BM92" s="91"/>
    </row>
    <row r="93" spans="1:68" x14ac:dyDescent="0.25">
      <c r="A93" s="71">
        <f>+A92+1</f>
        <v>85</v>
      </c>
      <c r="B93" s="95" t="s">
        <v>190</v>
      </c>
      <c r="C93" s="16">
        <f>+D93/2080</f>
        <v>26.442307692307693</v>
      </c>
      <c r="D93" s="65">
        <v>55000</v>
      </c>
      <c r="E93" s="113">
        <f t="shared" si="15"/>
        <v>55000</v>
      </c>
      <c r="F93" s="184">
        <f t="shared" si="19"/>
        <v>0</v>
      </c>
      <c r="G93" s="166"/>
      <c r="H93" s="166"/>
      <c r="I93" s="166"/>
      <c r="J93" s="166"/>
      <c r="K93" s="166"/>
      <c r="L93" s="166"/>
      <c r="M93" s="166"/>
      <c r="N93" s="96">
        <v>0</v>
      </c>
      <c r="O93" s="34">
        <f t="shared" si="16"/>
        <v>0</v>
      </c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>
        <v>0</v>
      </c>
      <c r="AA93" s="34">
        <f>SUM(P93:Z93)</f>
        <v>0</v>
      </c>
      <c r="AB93" s="87"/>
      <c r="AC93" s="87"/>
      <c r="AD93" s="87"/>
      <c r="AE93" s="88"/>
      <c r="AF93" s="87"/>
      <c r="AG93" s="87"/>
      <c r="AH93" s="88"/>
      <c r="AI93" s="88"/>
      <c r="AJ93" s="87"/>
      <c r="AK93" s="3">
        <f t="shared" si="20"/>
        <v>0</v>
      </c>
      <c r="AL93" s="89"/>
      <c r="AM93" s="87"/>
      <c r="AN93" s="87"/>
      <c r="AO93" s="112">
        <f>+'[2]P 2-Salary '!$J$32</f>
        <v>55000</v>
      </c>
      <c r="AP93" s="87"/>
      <c r="AQ93" s="87"/>
      <c r="AR93" s="87"/>
      <c r="AS93" s="87"/>
      <c r="AT93" s="87"/>
      <c r="AU93" s="3">
        <f t="shared" si="14"/>
        <v>55000</v>
      </c>
      <c r="AV93" s="109"/>
      <c r="AW93" s="130">
        <v>0</v>
      </c>
      <c r="AX93" s="96">
        <v>0</v>
      </c>
      <c r="AY93" s="98">
        <v>0</v>
      </c>
      <c r="AZ93" s="176"/>
      <c r="BA93" s="176">
        <v>0</v>
      </c>
      <c r="BB93" s="3">
        <f t="shared" si="17"/>
        <v>0</v>
      </c>
      <c r="BC93" s="35"/>
      <c r="BD93" s="35"/>
      <c r="BE93" s="35"/>
      <c r="BF93" s="35"/>
      <c r="BG93" s="35"/>
      <c r="BH93" s="35"/>
      <c r="BI93" s="73"/>
      <c r="BJ93" s="35"/>
      <c r="BL93">
        <f>+D93*5%</f>
        <v>2750</v>
      </c>
      <c r="BM93" s="91">
        <f>+BL93+D93</f>
        <v>57750</v>
      </c>
    </row>
    <row r="94" spans="1:68" x14ac:dyDescent="0.25">
      <c r="D94" s="44">
        <f t="shared" ref="D94:BJ94" si="21">SUM(D4:D93)</f>
        <v>4694801.3752000006</v>
      </c>
      <c r="E94" s="44">
        <f t="shared" si="21"/>
        <v>5812270.6442</v>
      </c>
      <c r="F94" s="118">
        <f t="shared" si="21"/>
        <v>1117469.2689999999</v>
      </c>
      <c r="G94" s="118">
        <f>SUM(G4:G93)</f>
        <v>68195.649999999994</v>
      </c>
      <c r="H94" s="118">
        <f t="shared" ref="H94:M94" si="22">SUM(H4:H93)</f>
        <v>90667.430000000008</v>
      </c>
      <c r="I94" s="118">
        <f t="shared" si="22"/>
        <v>18219.75</v>
      </c>
      <c r="J94" s="118">
        <f t="shared" si="22"/>
        <v>72651.62</v>
      </c>
      <c r="K94" s="118">
        <f t="shared" si="22"/>
        <v>44328.200000000004</v>
      </c>
      <c r="L94" s="118">
        <f t="shared" si="22"/>
        <v>88436.88</v>
      </c>
      <c r="M94" s="118">
        <f t="shared" si="22"/>
        <v>31695</v>
      </c>
      <c r="N94" s="133">
        <f t="shared" si="21"/>
        <v>93947.213599999988</v>
      </c>
      <c r="O94" s="97">
        <f t="shared" si="21"/>
        <v>508141.74359999993</v>
      </c>
      <c r="P94" s="133">
        <f t="shared" si="21"/>
        <v>59786.720000000001</v>
      </c>
      <c r="Q94" s="133">
        <f t="shared" si="21"/>
        <v>52238.04</v>
      </c>
      <c r="R94" s="133">
        <f t="shared" si="21"/>
        <v>24756.3</v>
      </c>
      <c r="S94" s="133">
        <f t="shared" si="21"/>
        <v>14700</v>
      </c>
      <c r="T94" s="133">
        <f t="shared" si="21"/>
        <v>94569.22</v>
      </c>
      <c r="U94" s="133">
        <f t="shared" si="21"/>
        <v>17223.52</v>
      </c>
      <c r="V94" s="133">
        <f t="shared" si="21"/>
        <v>2625</v>
      </c>
      <c r="W94" s="133">
        <f t="shared" si="21"/>
        <v>30178.639999999999</v>
      </c>
      <c r="X94" s="133">
        <f t="shared" si="21"/>
        <v>50431.56</v>
      </c>
      <c r="Y94" s="133">
        <f t="shared" si="21"/>
        <v>32902.270000000004</v>
      </c>
      <c r="Z94" s="44">
        <f t="shared" si="21"/>
        <v>93416.459999999992</v>
      </c>
      <c r="AA94" s="36">
        <f t="shared" si="21"/>
        <v>472827.73000000004</v>
      </c>
      <c r="AB94" s="44">
        <f t="shared" si="21"/>
        <v>146227</v>
      </c>
      <c r="AC94" s="44">
        <f t="shared" si="21"/>
        <v>165366</v>
      </c>
      <c r="AD94" s="44">
        <f t="shared" si="21"/>
        <v>523836</v>
      </c>
      <c r="AE94" s="44">
        <f t="shared" si="21"/>
        <v>769966</v>
      </c>
      <c r="AF94" s="44">
        <f t="shared" si="21"/>
        <v>136159</v>
      </c>
      <c r="AG94" s="44">
        <f t="shared" si="21"/>
        <v>55577</v>
      </c>
      <c r="AH94" s="44">
        <f t="shared" si="21"/>
        <v>101862.93</v>
      </c>
      <c r="AI94" s="44">
        <f t="shared" si="21"/>
        <v>124880</v>
      </c>
      <c r="AJ94" s="44">
        <f t="shared" si="21"/>
        <v>191816</v>
      </c>
      <c r="AK94" s="36">
        <f t="shared" si="21"/>
        <v>2215689.9300000002</v>
      </c>
      <c r="AL94" s="44">
        <f t="shared" si="21"/>
        <v>79897.010000000009</v>
      </c>
      <c r="AM94" s="44">
        <f t="shared" si="21"/>
        <v>84707.989999999991</v>
      </c>
      <c r="AN94" s="44">
        <f t="shared" si="21"/>
        <v>224866.94000000003</v>
      </c>
      <c r="AO94" s="44">
        <f t="shared" si="21"/>
        <v>714925.49</v>
      </c>
      <c r="AP94" s="44">
        <f t="shared" si="21"/>
        <v>103219.28</v>
      </c>
      <c r="AQ94" s="44">
        <f t="shared" si="21"/>
        <v>101045.3456</v>
      </c>
      <c r="AR94" s="44">
        <f t="shared" si="21"/>
        <v>141429.04999999999</v>
      </c>
      <c r="AS94" s="44">
        <f t="shared" si="21"/>
        <v>153641.43</v>
      </c>
      <c r="AT94" s="44">
        <f t="shared" si="21"/>
        <v>142496.66</v>
      </c>
      <c r="AU94" s="36">
        <f t="shared" si="21"/>
        <v>1746229.1956000002</v>
      </c>
      <c r="AV94" s="44">
        <f t="shared" si="21"/>
        <v>57799.75</v>
      </c>
      <c r="AW94" s="44">
        <f t="shared" si="21"/>
        <v>119604.81</v>
      </c>
      <c r="AX94" s="133">
        <f>SUM(AX4:AX93)</f>
        <v>182780.64</v>
      </c>
      <c r="AY94" s="44">
        <f>SUM(AY4:AY93)</f>
        <v>131619.66</v>
      </c>
      <c r="AZ94" s="44">
        <f t="shared" si="21"/>
        <v>167050.45000000001</v>
      </c>
      <c r="BA94" s="44">
        <f t="shared" si="21"/>
        <v>3502.3</v>
      </c>
      <c r="BB94" s="44">
        <f t="shared" si="21"/>
        <v>484953.05</v>
      </c>
      <c r="BC94" s="44">
        <f t="shared" si="21"/>
        <v>19353.41</v>
      </c>
      <c r="BD94" s="44">
        <f t="shared" si="21"/>
        <v>6000</v>
      </c>
      <c r="BE94" s="44">
        <f t="shared" si="21"/>
        <v>24132.720000000001</v>
      </c>
      <c r="BF94" s="44">
        <f t="shared" si="21"/>
        <v>2961.54</v>
      </c>
      <c r="BG94" s="44">
        <f t="shared" si="21"/>
        <v>72648.475000000006</v>
      </c>
      <c r="BH94" s="44">
        <f t="shared" si="21"/>
        <v>18101.34</v>
      </c>
      <c r="BI94" s="44">
        <f t="shared" si="21"/>
        <v>63826.950000000004</v>
      </c>
      <c r="BJ94" s="36">
        <f t="shared" si="21"/>
        <v>0</v>
      </c>
    </row>
    <row r="95" spans="1:68" x14ac:dyDescent="0.25">
      <c r="B95" s="99" t="s">
        <v>117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Z95" s="31"/>
      <c r="AA95" s="31"/>
      <c r="AB95" s="31"/>
      <c r="AC95" s="106">
        <v>52788</v>
      </c>
      <c r="AD95" s="106">
        <v>59697</v>
      </c>
      <c r="AE95" s="106">
        <v>189105</v>
      </c>
      <c r="AF95" s="106">
        <v>277954</v>
      </c>
      <c r="AG95" s="106">
        <v>54673</v>
      </c>
      <c r="AH95" s="106"/>
      <c r="AI95" s="4">
        <v>0</v>
      </c>
      <c r="AJ95" s="4"/>
      <c r="AK95" s="4">
        <v>66366</v>
      </c>
      <c r="AL95" s="85">
        <f>SUM(AC95:AK95)</f>
        <v>700583</v>
      </c>
      <c r="AM95" s="4">
        <v>28842.82</v>
      </c>
      <c r="AN95" s="4">
        <v>30579.58</v>
      </c>
      <c r="AO95" s="4">
        <v>81176.97</v>
      </c>
      <c r="AP95" s="34">
        <v>235113.11</v>
      </c>
      <c r="AQ95" s="4">
        <v>37262.160000000003</v>
      </c>
      <c r="AR95" s="4">
        <v>36477.370000000003</v>
      </c>
      <c r="AS95" s="4">
        <v>51055.89</v>
      </c>
      <c r="AT95" s="4">
        <v>48308.77</v>
      </c>
      <c r="AU95" s="4">
        <v>47092.89</v>
      </c>
      <c r="AV95" s="103">
        <f>SUM(AM95:AU95)</f>
        <v>595909.56000000006</v>
      </c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 t="s">
        <v>12</v>
      </c>
      <c r="BI95" s="31"/>
      <c r="BJ95" s="31"/>
    </row>
    <row r="96" spans="1:68" x14ac:dyDescent="0.25">
      <c r="B96" s="99" t="s">
        <v>116</v>
      </c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t="s">
        <v>12</v>
      </c>
      <c r="O96" s="30" t="s">
        <v>12</v>
      </c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 t="s">
        <v>12</v>
      </c>
      <c r="AA96" s="30"/>
      <c r="AB96" s="30"/>
      <c r="AC96" s="106">
        <v>1500</v>
      </c>
      <c r="AD96" s="106">
        <v>2000</v>
      </c>
      <c r="AE96" s="106">
        <v>5000</v>
      </c>
      <c r="AF96" s="106">
        <v>4500</v>
      </c>
      <c r="AG96" s="106">
        <v>0</v>
      </c>
      <c r="AH96" s="106"/>
      <c r="AI96" s="4">
        <v>0</v>
      </c>
      <c r="AJ96" s="4"/>
      <c r="AK96" s="4">
        <v>1500</v>
      </c>
      <c r="AL96" s="85">
        <f t="shared" ref="AL96:AL107" si="23">SUM(AC96:AK96)</f>
        <v>14500</v>
      </c>
      <c r="AM96" s="4">
        <v>1000</v>
      </c>
      <c r="AN96" s="4">
        <v>500</v>
      </c>
      <c r="AO96" s="4">
        <v>4500</v>
      </c>
      <c r="AP96" s="34">
        <v>0</v>
      </c>
      <c r="AQ96" s="4">
        <v>2300</v>
      </c>
      <c r="AR96" s="4">
        <v>1500</v>
      </c>
      <c r="AS96" s="4"/>
      <c r="AT96" s="4">
        <v>1500</v>
      </c>
      <c r="AU96" s="4"/>
      <c r="AV96" s="103">
        <f t="shared" ref="AV96:AV107" si="24">SUM(AM96:AU96)</f>
        <v>11300</v>
      </c>
      <c r="AX96" t="s">
        <v>12</v>
      </c>
      <c r="AZ96" t="s">
        <v>12</v>
      </c>
      <c r="BA96" t="s">
        <v>12</v>
      </c>
      <c r="BC96" t="s">
        <v>12</v>
      </c>
      <c r="BE96" t="s">
        <v>12</v>
      </c>
      <c r="BH96" s="30" t="s">
        <v>12</v>
      </c>
      <c r="BI96" t="s">
        <v>12</v>
      </c>
      <c r="BJ96" t="s">
        <v>12</v>
      </c>
    </row>
    <row r="97" spans="2:63" x14ac:dyDescent="0.25">
      <c r="B97" s="100" t="s">
        <v>125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30" t="s">
        <v>12</v>
      </c>
      <c r="O97" s="30" t="s">
        <v>12</v>
      </c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 t="s">
        <v>12</v>
      </c>
      <c r="AC97" s="106">
        <v>900</v>
      </c>
      <c r="AD97" s="106">
        <v>840</v>
      </c>
      <c r="AE97" s="106">
        <v>2520</v>
      </c>
      <c r="AF97" s="106">
        <v>4620</v>
      </c>
      <c r="AG97" s="106">
        <v>1200</v>
      </c>
      <c r="AH97" s="106"/>
      <c r="AI97" s="4">
        <v>0</v>
      </c>
      <c r="AJ97" s="4"/>
      <c r="AK97" s="102">
        <v>1200</v>
      </c>
      <c r="AL97" s="85">
        <f t="shared" si="23"/>
        <v>11280</v>
      </c>
      <c r="AM97" s="4">
        <v>1000</v>
      </c>
      <c r="AN97" s="4">
        <v>1500</v>
      </c>
      <c r="AO97" s="4">
        <v>0</v>
      </c>
      <c r="AP97" s="34">
        <v>0</v>
      </c>
      <c r="AQ97" s="4">
        <v>1000</v>
      </c>
      <c r="AR97" s="4">
        <v>1000</v>
      </c>
      <c r="AS97" s="4">
        <v>1500</v>
      </c>
      <c r="AT97" s="4">
        <v>1500</v>
      </c>
      <c r="AU97" s="4">
        <v>2000</v>
      </c>
      <c r="AV97" s="103">
        <f t="shared" si="24"/>
        <v>9500</v>
      </c>
      <c r="AX97" s="30" t="s">
        <v>12</v>
      </c>
      <c r="AY97" s="30"/>
      <c r="AZ97" s="131" t="s">
        <v>12</v>
      </c>
      <c r="BA97" s="30" t="s">
        <v>12</v>
      </c>
      <c r="BB97" s="30"/>
      <c r="BH97" t="s">
        <v>12</v>
      </c>
      <c r="BI97" s="131" t="s">
        <v>12</v>
      </c>
      <c r="BK97" s="30" t="s">
        <v>12</v>
      </c>
    </row>
    <row r="98" spans="2:63" x14ac:dyDescent="0.25">
      <c r="B98" s="100" t="s">
        <v>108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O98" s="30" t="s">
        <v>12</v>
      </c>
      <c r="P98" s="30"/>
      <c r="Q98" s="30"/>
      <c r="R98" s="30"/>
      <c r="S98" s="30"/>
      <c r="T98" s="30"/>
      <c r="U98" s="30"/>
      <c r="V98" s="30"/>
      <c r="W98" s="30"/>
      <c r="X98" s="30"/>
      <c r="Y98" s="30"/>
      <c r="AC98" s="106">
        <v>3060</v>
      </c>
      <c r="AD98" s="106">
        <v>1504</v>
      </c>
      <c r="AE98" s="106">
        <v>3360</v>
      </c>
      <c r="AF98" s="106">
        <v>2100</v>
      </c>
      <c r="AG98" s="106">
        <v>1789</v>
      </c>
      <c r="AH98" s="106"/>
      <c r="AI98" s="4">
        <v>0</v>
      </c>
      <c r="AJ98" s="4"/>
      <c r="AK98" s="4">
        <v>840</v>
      </c>
      <c r="AL98" s="85">
        <f t="shared" si="23"/>
        <v>12653</v>
      </c>
      <c r="AM98" s="4">
        <v>1000</v>
      </c>
      <c r="AN98" s="4">
        <v>500</v>
      </c>
      <c r="AO98" s="4">
        <v>500</v>
      </c>
      <c r="AP98" s="34">
        <v>2500</v>
      </c>
      <c r="AQ98" s="4">
        <v>1000</v>
      </c>
      <c r="AR98" s="4">
        <v>500</v>
      </c>
      <c r="AS98" s="4">
        <v>2000</v>
      </c>
      <c r="AT98" s="4">
        <v>2000</v>
      </c>
      <c r="AU98" s="4">
        <v>3000</v>
      </c>
      <c r="AV98" s="103">
        <f t="shared" si="24"/>
        <v>13000</v>
      </c>
      <c r="AZ98" s="30" t="s">
        <v>12</v>
      </c>
    </row>
    <row r="99" spans="2:63" x14ac:dyDescent="0.25">
      <c r="B99" s="100" t="s">
        <v>109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AC99" s="106">
        <v>0</v>
      </c>
      <c r="AD99" s="106">
        <v>480</v>
      </c>
      <c r="AE99" s="106">
        <v>900</v>
      </c>
      <c r="AF99" s="106">
        <v>900</v>
      </c>
      <c r="AG99" s="106">
        <v>0</v>
      </c>
      <c r="AH99" s="106"/>
      <c r="AI99" s="4">
        <v>0</v>
      </c>
      <c r="AJ99" s="4"/>
      <c r="AK99" s="4">
        <v>600</v>
      </c>
      <c r="AL99" s="85">
        <f t="shared" si="23"/>
        <v>2880</v>
      </c>
      <c r="AM99" s="4">
        <v>0</v>
      </c>
      <c r="AN99" s="4">
        <v>0</v>
      </c>
      <c r="AO99" s="4">
        <v>0</v>
      </c>
      <c r="AP99" s="3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103">
        <f t="shared" si="24"/>
        <v>0</v>
      </c>
      <c r="BH99" t="s">
        <v>12</v>
      </c>
    </row>
    <row r="100" spans="2:63" x14ac:dyDescent="0.25">
      <c r="B100" s="100" t="s">
        <v>110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AC100" s="106">
        <v>0</v>
      </c>
      <c r="AD100" s="106">
        <v>0</v>
      </c>
      <c r="AE100" s="106">
        <v>317000</v>
      </c>
      <c r="AF100" s="106">
        <v>151000</v>
      </c>
      <c r="AG100" s="106">
        <v>429600</v>
      </c>
      <c r="AH100" s="106"/>
      <c r="AI100" s="4">
        <v>0</v>
      </c>
      <c r="AJ100" s="4"/>
      <c r="AK100" s="4">
        <v>172500</v>
      </c>
      <c r="AL100" s="85">
        <f t="shared" si="23"/>
        <v>1070100</v>
      </c>
      <c r="AM100" s="4">
        <v>18500</v>
      </c>
      <c r="AN100" s="4">
        <v>20000</v>
      </c>
      <c r="AO100" s="4">
        <v>127500</v>
      </c>
      <c r="AP100" s="34">
        <v>2423000</v>
      </c>
      <c r="AQ100" s="4">
        <v>10500</v>
      </c>
      <c r="AR100" s="4">
        <v>18000</v>
      </c>
      <c r="AS100" s="4">
        <v>47000</v>
      </c>
      <c r="AT100" s="4">
        <v>43500</v>
      </c>
      <c r="AU100" s="4">
        <v>41500</v>
      </c>
      <c r="AV100" s="103">
        <f t="shared" si="24"/>
        <v>2749500</v>
      </c>
      <c r="BH100" t="s">
        <v>12</v>
      </c>
    </row>
    <row r="101" spans="2:63" x14ac:dyDescent="0.25">
      <c r="B101" s="100" t="s">
        <v>111</v>
      </c>
      <c r="C101" s="100"/>
      <c r="D101" s="100"/>
      <c r="E101" s="100"/>
      <c r="F101" s="100" t="s">
        <v>12</v>
      </c>
      <c r="G101" s="100"/>
      <c r="H101" s="100"/>
      <c r="I101" s="100"/>
      <c r="J101" s="100"/>
      <c r="K101" s="100"/>
      <c r="L101" s="100"/>
      <c r="M101" s="100"/>
      <c r="AC101" s="106">
        <v>10221</v>
      </c>
      <c r="AD101" s="106">
        <v>11400</v>
      </c>
      <c r="AE101" s="106">
        <v>30806</v>
      </c>
      <c r="AF101" s="106">
        <v>47610</v>
      </c>
      <c r="AG101" s="106">
        <v>8400</v>
      </c>
      <c r="AH101" s="106"/>
      <c r="AI101" s="4">
        <v>0</v>
      </c>
      <c r="AJ101" s="4"/>
      <c r="AK101" s="4">
        <v>13048</v>
      </c>
      <c r="AL101" s="85">
        <f t="shared" si="23"/>
        <v>121485</v>
      </c>
      <c r="AM101" s="4">
        <v>0</v>
      </c>
      <c r="AN101" s="4">
        <v>0</v>
      </c>
      <c r="AO101" s="4">
        <v>0</v>
      </c>
      <c r="AP101" s="3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103">
        <f t="shared" si="24"/>
        <v>0</v>
      </c>
      <c r="BH101" t="s">
        <v>12</v>
      </c>
    </row>
    <row r="102" spans="2:63" x14ac:dyDescent="0.25">
      <c r="B102" s="100" t="s">
        <v>120</v>
      </c>
      <c r="C102" s="100"/>
      <c r="D102" s="100"/>
      <c r="E102" s="100"/>
      <c r="F102" s="100" t="s">
        <v>12</v>
      </c>
      <c r="G102" s="100"/>
      <c r="H102" s="100"/>
      <c r="I102" s="100"/>
      <c r="J102" s="100"/>
      <c r="K102" s="100"/>
      <c r="L102" s="100"/>
      <c r="M102" s="100"/>
      <c r="AC102" s="106">
        <v>0</v>
      </c>
      <c r="AD102" s="106">
        <v>0</v>
      </c>
      <c r="AE102" s="106">
        <v>501</v>
      </c>
      <c r="AF102" s="106">
        <v>0</v>
      </c>
      <c r="AG102" s="106">
        <v>0</v>
      </c>
      <c r="AH102" s="106"/>
      <c r="AI102" s="4">
        <v>0</v>
      </c>
      <c r="AJ102" s="4"/>
      <c r="AK102" s="4">
        <v>0</v>
      </c>
      <c r="AL102" s="85">
        <f t="shared" si="23"/>
        <v>501</v>
      </c>
      <c r="AM102" s="4">
        <v>600</v>
      </c>
      <c r="AN102" s="4">
        <v>600</v>
      </c>
      <c r="AO102" s="4">
        <v>0</v>
      </c>
      <c r="AP102" s="34">
        <v>0</v>
      </c>
      <c r="AQ102" s="4">
        <v>600</v>
      </c>
      <c r="AR102" s="4">
        <v>500</v>
      </c>
      <c r="AS102" s="4">
        <v>1200</v>
      </c>
      <c r="AT102" s="4">
        <v>1000</v>
      </c>
      <c r="AU102" s="4">
        <v>2000</v>
      </c>
      <c r="AV102" s="103">
        <f t="shared" si="24"/>
        <v>6500</v>
      </c>
    </row>
    <row r="103" spans="2:63" x14ac:dyDescent="0.25">
      <c r="B103" s="100" t="s">
        <v>112</v>
      </c>
      <c r="C103" s="100"/>
      <c r="D103" s="100"/>
      <c r="E103" s="100"/>
      <c r="F103" s="100" t="s">
        <v>12</v>
      </c>
      <c r="G103" s="100"/>
      <c r="H103" s="100"/>
      <c r="I103" s="100"/>
      <c r="J103" s="100"/>
      <c r="K103" s="100"/>
      <c r="L103" s="100"/>
      <c r="M103" s="100"/>
      <c r="N103" t="s">
        <v>12</v>
      </c>
      <c r="AC103" s="106">
        <v>600</v>
      </c>
      <c r="AD103" s="106">
        <v>2100</v>
      </c>
      <c r="AE103" s="106">
        <v>2100</v>
      </c>
      <c r="AF103" s="106">
        <v>1200</v>
      </c>
      <c r="AG103" s="106">
        <v>0</v>
      </c>
      <c r="AH103" s="106"/>
      <c r="AI103" s="4">
        <v>0</v>
      </c>
      <c r="AJ103" s="4"/>
      <c r="AK103" s="4">
        <v>1200</v>
      </c>
      <c r="AL103" s="85">
        <f t="shared" si="23"/>
        <v>7200</v>
      </c>
      <c r="AM103" s="4">
        <v>0</v>
      </c>
      <c r="AN103" s="4">
        <v>0</v>
      </c>
      <c r="AO103" s="4">
        <v>0</v>
      </c>
      <c r="AP103" s="4">
        <v>3500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103">
        <f t="shared" si="24"/>
        <v>3500</v>
      </c>
    </row>
    <row r="104" spans="2:63" x14ac:dyDescent="0.25">
      <c r="B104" s="100" t="s">
        <v>113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AC104" s="106">
        <v>0</v>
      </c>
      <c r="AD104" s="106">
        <v>0</v>
      </c>
      <c r="AE104" s="106">
        <v>0</v>
      </c>
      <c r="AF104" s="106">
        <v>0</v>
      </c>
      <c r="AG104" s="106">
        <v>0</v>
      </c>
      <c r="AH104" s="106"/>
      <c r="AI104" s="4">
        <v>0</v>
      </c>
      <c r="AJ104" s="4"/>
      <c r="AK104" s="4">
        <v>0</v>
      </c>
      <c r="AL104" s="85">
        <f t="shared" si="23"/>
        <v>0</v>
      </c>
      <c r="AM104" s="4">
        <v>500</v>
      </c>
      <c r="AN104" s="4">
        <v>500</v>
      </c>
      <c r="AO104" s="4">
        <v>0</v>
      </c>
      <c r="AP104" s="4">
        <v>2000</v>
      </c>
      <c r="AQ104" s="4">
        <v>0</v>
      </c>
      <c r="AR104" s="4">
        <v>0</v>
      </c>
      <c r="AS104" s="4">
        <v>1000</v>
      </c>
      <c r="AT104" s="4">
        <v>1000</v>
      </c>
      <c r="AU104" s="4">
        <v>1500</v>
      </c>
      <c r="AV104" s="103">
        <f t="shared" si="24"/>
        <v>6500</v>
      </c>
    </row>
    <row r="105" spans="2:63" x14ac:dyDescent="0.25">
      <c r="B105" s="100" t="s">
        <v>118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AC105" s="106">
        <v>0</v>
      </c>
      <c r="AD105" s="106">
        <v>0</v>
      </c>
      <c r="AE105" s="106">
        <v>1400</v>
      </c>
      <c r="AF105" s="106">
        <v>2800</v>
      </c>
      <c r="AG105" s="106">
        <v>0</v>
      </c>
      <c r="AH105" s="106"/>
      <c r="AI105" s="4">
        <v>0</v>
      </c>
      <c r="AJ105" s="4"/>
      <c r="AK105" s="4">
        <v>1200</v>
      </c>
      <c r="AL105" s="85">
        <f t="shared" si="23"/>
        <v>5400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1800</v>
      </c>
      <c r="AT105" s="4">
        <v>1500</v>
      </c>
      <c r="AU105" s="4">
        <v>1500</v>
      </c>
      <c r="AV105" s="103">
        <f t="shared" si="24"/>
        <v>4800</v>
      </c>
    </row>
    <row r="106" spans="2:63" x14ac:dyDescent="0.25">
      <c r="B106" s="100" t="s">
        <v>114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AC106" s="106">
        <v>1500</v>
      </c>
      <c r="AD106" s="106">
        <v>2020</v>
      </c>
      <c r="AE106" s="106">
        <v>1381</v>
      </c>
      <c r="AF106" s="106">
        <v>2196</v>
      </c>
      <c r="AG106" s="106">
        <v>1404</v>
      </c>
      <c r="AH106" s="106"/>
      <c r="AI106" s="4">
        <v>0</v>
      </c>
      <c r="AJ106" s="4"/>
      <c r="AK106" s="4">
        <v>1200</v>
      </c>
      <c r="AL106" s="85">
        <f t="shared" si="23"/>
        <v>9701</v>
      </c>
      <c r="AM106" s="4">
        <v>800</v>
      </c>
      <c r="AN106" s="4">
        <v>500</v>
      </c>
      <c r="AO106" s="4">
        <v>1500</v>
      </c>
      <c r="AP106" s="4">
        <v>2000</v>
      </c>
      <c r="AQ106" s="4">
        <v>500</v>
      </c>
      <c r="AR106" s="4">
        <v>500</v>
      </c>
      <c r="AS106" s="4">
        <v>1000</v>
      </c>
      <c r="AT106" s="4">
        <v>1500</v>
      </c>
      <c r="AU106" s="4">
        <v>2500</v>
      </c>
      <c r="AV106" s="103">
        <f t="shared" si="24"/>
        <v>10800</v>
      </c>
    </row>
    <row r="107" spans="2:63" x14ac:dyDescent="0.25">
      <c r="B107" s="100" t="s">
        <v>115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AC107" s="106">
        <v>56800</v>
      </c>
      <c r="AD107" s="106">
        <v>64297</v>
      </c>
      <c r="AE107" s="106">
        <v>199358</v>
      </c>
      <c r="AF107" s="106">
        <v>331390</v>
      </c>
      <c r="AG107" s="106">
        <v>57356</v>
      </c>
      <c r="AH107" s="106"/>
      <c r="AI107" s="4">
        <v>0</v>
      </c>
      <c r="AJ107" s="4"/>
      <c r="AK107" s="4">
        <v>116194</v>
      </c>
      <c r="AL107" s="85">
        <f t="shared" si="23"/>
        <v>825395</v>
      </c>
      <c r="AM107" s="4">
        <v>34620.639999999999</v>
      </c>
      <c r="AN107" s="4">
        <v>36519.54</v>
      </c>
      <c r="AO107" s="4">
        <v>115291.5</v>
      </c>
      <c r="AP107" s="4">
        <v>869681.74</v>
      </c>
      <c r="AQ107" s="4">
        <v>40971.94</v>
      </c>
      <c r="AR107" s="4">
        <v>41794.949999999997</v>
      </c>
      <c r="AS107" s="4">
        <v>59208.05</v>
      </c>
      <c r="AT107" s="4">
        <v>56887.56</v>
      </c>
      <c r="AU107" s="4">
        <v>56341.56</v>
      </c>
      <c r="AV107" s="103">
        <f t="shared" si="24"/>
        <v>1311317.48</v>
      </c>
    </row>
    <row r="108" spans="2:63" x14ac:dyDescent="0.25">
      <c r="AC108" s="107">
        <f>SUM(AB94:AB94)</f>
        <v>146227</v>
      </c>
      <c r="AD108" s="107">
        <f>SUM(AD94:AD107)</f>
        <v>668174</v>
      </c>
      <c r="AE108" s="107">
        <f>SUM(AE94:AE107)</f>
        <v>1523397</v>
      </c>
      <c r="AF108" s="107">
        <f>SUM(AF94:AF107)</f>
        <v>962429</v>
      </c>
      <c r="AG108" s="107">
        <f>SUM(AG94:AG107)</f>
        <v>609999</v>
      </c>
      <c r="AH108" s="104">
        <f>SUM(AH95:AH107)</f>
        <v>0</v>
      </c>
      <c r="AI108" s="104">
        <f>SUM(AI95:AI107)</f>
        <v>0</v>
      </c>
      <c r="AJ108" s="104">
        <f>SUM(AJ95:AJ107)</f>
        <v>0</v>
      </c>
      <c r="AK108" s="104">
        <f t="shared" ref="AK108:AV108" si="25">SUM(AK94:AK107)</f>
        <v>2591537.9300000002</v>
      </c>
      <c r="AL108" s="94">
        <f t="shared" si="25"/>
        <v>2861575.01</v>
      </c>
      <c r="AM108" s="104">
        <f t="shared" si="25"/>
        <v>171571.45</v>
      </c>
      <c r="AN108" s="104">
        <f t="shared" si="25"/>
        <v>316066.06</v>
      </c>
      <c r="AO108" s="104">
        <f t="shared" si="25"/>
        <v>1045393.96</v>
      </c>
      <c r="AP108" s="104">
        <f t="shared" si="25"/>
        <v>3641014.13</v>
      </c>
      <c r="AQ108" s="104">
        <f t="shared" si="25"/>
        <v>195179.44560000001</v>
      </c>
      <c r="AR108" s="104">
        <f t="shared" si="25"/>
        <v>241701.37</v>
      </c>
      <c r="AS108" s="104">
        <f t="shared" si="25"/>
        <v>319405.37</v>
      </c>
      <c r="AT108" s="104">
        <f t="shared" si="25"/>
        <v>301192.99</v>
      </c>
      <c r="AU108" s="104">
        <f t="shared" si="25"/>
        <v>1903663.6456000002</v>
      </c>
      <c r="AV108" s="101">
        <f t="shared" si="25"/>
        <v>4780426.79</v>
      </c>
    </row>
    <row r="109" spans="2:63" x14ac:dyDescent="0.25">
      <c r="AK109" s="86" t="s">
        <v>12</v>
      </c>
      <c r="AS109" s="86" t="s">
        <v>12</v>
      </c>
    </row>
    <row r="110" spans="2:63" x14ac:dyDescent="0.25">
      <c r="AH110" t="s">
        <v>12</v>
      </c>
      <c r="AI110" s="129" t="s">
        <v>12</v>
      </c>
      <c r="AK110" s="30" t="s">
        <v>12</v>
      </c>
      <c r="AS110" s="30" t="s">
        <v>12</v>
      </c>
    </row>
    <row r="111" spans="2:63" x14ac:dyDescent="0.25">
      <c r="AH111" s="30" t="s">
        <v>12</v>
      </c>
      <c r="AI111" s="30" t="s">
        <v>12</v>
      </c>
      <c r="AP111" t="s">
        <v>12</v>
      </c>
    </row>
    <row r="112" spans="2:63" x14ac:dyDescent="0.25">
      <c r="O112" t="s">
        <v>12</v>
      </c>
      <c r="AV112" t="s">
        <v>12</v>
      </c>
    </row>
    <row r="113" spans="2:46" x14ac:dyDescent="0.25">
      <c r="O113" s="134" t="s">
        <v>12</v>
      </c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AG113" t="s">
        <v>12</v>
      </c>
      <c r="AI113" t="s">
        <v>12</v>
      </c>
      <c r="AS113" s="180" t="s">
        <v>12</v>
      </c>
    </row>
    <row r="114" spans="2:46" x14ac:dyDescent="0.25">
      <c r="O114" t="s">
        <v>12</v>
      </c>
      <c r="Z114" t="s">
        <v>12</v>
      </c>
      <c r="AI114" t="s">
        <v>12</v>
      </c>
      <c r="AJ114" t="s">
        <v>12</v>
      </c>
      <c r="AK114" t="s">
        <v>12</v>
      </c>
      <c r="AL114" t="s">
        <v>12</v>
      </c>
      <c r="AP114" s="30" t="s">
        <v>12</v>
      </c>
      <c r="AS114" t="s">
        <v>12</v>
      </c>
    </row>
    <row r="115" spans="2:46" x14ac:dyDescent="0.25">
      <c r="C115" s="165" t="s">
        <v>240</v>
      </c>
      <c r="D115" s="165"/>
      <c r="AC115" s="92"/>
      <c r="AD115" s="92"/>
      <c r="AE115" s="92"/>
      <c r="AL115" t="s">
        <v>12</v>
      </c>
      <c r="AS115" s="180" t="s">
        <v>12</v>
      </c>
      <c r="AT115" t="s">
        <v>12</v>
      </c>
    </row>
    <row r="116" spans="2:46" x14ac:dyDescent="0.25">
      <c r="C116" s="150" t="s">
        <v>212</v>
      </c>
      <c r="D116" s="151" t="s">
        <v>213</v>
      </c>
      <c r="E116" s="174" t="s">
        <v>214</v>
      </c>
      <c r="F116" s="174" t="s">
        <v>11</v>
      </c>
      <c r="AL116" t="s">
        <v>12</v>
      </c>
      <c r="AQ116">
        <f>16/2</f>
        <v>8</v>
      </c>
      <c r="AS116" t="s">
        <v>12</v>
      </c>
    </row>
    <row r="117" spans="2:46" x14ac:dyDescent="0.25">
      <c r="B117" s="67" t="s">
        <v>145</v>
      </c>
      <c r="C117" s="5"/>
      <c r="D117" s="154"/>
      <c r="E117" s="181"/>
      <c r="F117" s="182">
        <f>+E117+D117+C117</f>
        <v>0</v>
      </c>
      <c r="AL117" t="s">
        <v>12</v>
      </c>
    </row>
    <row r="118" spans="2:46" x14ac:dyDescent="0.25">
      <c r="B118" s="67" t="s">
        <v>143</v>
      </c>
      <c r="C118" s="152"/>
      <c r="D118" s="155"/>
      <c r="E118" s="181"/>
      <c r="F118" s="182">
        <f t="shared" ref="F118:F181" si="26">+E118+D118+C118</f>
        <v>0</v>
      </c>
      <c r="N118" t="s">
        <v>12</v>
      </c>
      <c r="AL118" t="s">
        <v>12</v>
      </c>
    </row>
    <row r="119" spans="2:46" x14ac:dyDescent="0.25">
      <c r="B119" s="67" t="s">
        <v>26</v>
      </c>
      <c r="C119" s="152"/>
      <c r="D119" s="155"/>
      <c r="E119" s="181"/>
      <c r="F119" s="182">
        <f t="shared" si="26"/>
        <v>0</v>
      </c>
      <c r="N119" t="s">
        <v>12</v>
      </c>
      <c r="AL119" t="s">
        <v>12</v>
      </c>
    </row>
    <row r="120" spans="2:46" x14ac:dyDescent="0.25">
      <c r="B120" s="67" t="s">
        <v>23</v>
      </c>
      <c r="C120" s="152"/>
      <c r="D120" s="155"/>
      <c r="E120" s="181"/>
      <c r="F120" s="182">
        <f t="shared" si="26"/>
        <v>0</v>
      </c>
      <c r="N120" t="s">
        <v>12</v>
      </c>
    </row>
    <row r="121" spans="2:46" x14ac:dyDescent="0.25">
      <c r="B121" s="67" t="s">
        <v>100</v>
      </c>
      <c r="C121" s="152"/>
      <c r="D121" s="155"/>
      <c r="E121" s="181"/>
      <c r="F121" s="182">
        <f t="shared" si="26"/>
        <v>0</v>
      </c>
    </row>
    <row r="122" spans="2:46" x14ac:dyDescent="0.25">
      <c r="B122" s="11" t="s">
        <v>18</v>
      </c>
      <c r="C122" s="152">
        <v>1538.46</v>
      </c>
      <c r="D122" s="155">
        <v>2403.85</v>
      </c>
      <c r="E122" s="152">
        <v>3365.39</v>
      </c>
      <c r="F122" s="152">
        <f t="shared" si="26"/>
        <v>7307.7</v>
      </c>
    </row>
    <row r="123" spans="2:46" x14ac:dyDescent="0.25">
      <c r="B123" s="67" t="s">
        <v>90</v>
      </c>
      <c r="C123" s="152"/>
      <c r="D123" s="155"/>
      <c r="E123" s="152"/>
      <c r="F123" s="152">
        <f t="shared" si="26"/>
        <v>0</v>
      </c>
    </row>
    <row r="124" spans="2:46" x14ac:dyDescent="0.25">
      <c r="B124" s="67" t="s">
        <v>38</v>
      </c>
      <c r="C124" s="152">
        <v>0</v>
      </c>
      <c r="D124" s="155">
        <v>0</v>
      </c>
      <c r="E124" s="152"/>
      <c r="F124" s="152">
        <f t="shared" si="26"/>
        <v>0</v>
      </c>
      <c r="AB124" t="s">
        <v>12</v>
      </c>
    </row>
    <row r="125" spans="2:46" x14ac:dyDescent="0.25">
      <c r="B125" s="67" t="s">
        <v>148</v>
      </c>
      <c r="C125" s="152">
        <v>392.47</v>
      </c>
      <c r="D125" s="155">
        <v>0</v>
      </c>
      <c r="E125" s="152"/>
      <c r="F125" s="152">
        <f t="shared" si="26"/>
        <v>392.47</v>
      </c>
    </row>
    <row r="126" spans="2:46" x14ac:dyDescent="0.25">
      <c r="B126" s="10" t="s">
        <v>13</v>
      </c>
      <c r="C126" s="152">
        <v>0</v>
      </c>
      <c r="D126" s="155">
        <v>625</v>
      </c>
      <c r="E126" s="152">
        <v>1406.25</v>
      </c>
      <c r="F126" s="152">
        <f t="shared" si="26"/>
        <v>2031.25</v>
      </c>
    </row>
    <row r="127" spans="2:46" x14ac:dyDescent="0.25">
      <c r="B127" s="67" t="s">
        <v>30</v>
      </c>
      <c r="C127" s="152"/>
      <c r="D127" s="155">
        <v>0</v>
      </c>
      <c r="E127" s="152"/>
      <c r="F127" s="152">
        <f t="shared" si="26"/>
        <v>0</v>
      </c>
    </row>
    <row r="128" spans="2:46" x14ac:dyDescent="0.25">
      <c r="B128" s="67" t="s">
        <v>144</v>
      </c>
      <c r="C128" s="152"/>
      <c r="D128" s="155"/>
      <c r="E128" s="152"/>
      <c r="F128" s="152">
        <f t="shared" si="26"/>
        <v>0</v>
      </c>
    </row>
    <row r="129" spans="2:6" x14ac:dyDescent="0.25">
      <c r="B129" s="11" t="s">
        <v>29</v>
      </c>
      <c r="C129" s="152">
        <v>0</v>
      </c>
      <c r="D129" s="155">
        <v>0</v>
      </c>
      <c r="E129" s="152">
        <v>937.5</v>
      </c>
      <c r="F129" s="152">
        <f t="shared" si="26"/>
        <v>937.5</v>
      </c>
    </row>
    <row r="130" spans="2:6" x14ac:dyDescent="0.25">
      <c r="B130" s="67" t="s">
        <v>42</v>
      </c>
      <c r="C130" s="152"/>
      <c r="D130" s="155">
        <v>0</v>
      </c>
      <c r="E130" s="152"/>
      <c r="F130" s="152">
        <f t="shared" si="26"/>
        <v>0</v>
      </c>
    </row>
    <row r="131" spans="2:6" x14ac:dyDescent="0.25">
      <c r="B131" s="67" t="s">
        <v>189</v>
      </c>
      <c r="C131" s="152">
        <v>0</v>
      </c>
      <c r="D131" s="155">
        <v>0</v>
      </c>
      <c r="E131" s="152"/>
      <c r="F131" s="152">
        <f t="shared" si="26"/>
        <v>0</v>
      </c>
    </row>
    <row r="132" spans="2:6" x14ac:dyDescent="0.25">
      <c r="B132" s="67" t="s">
        <v>141</v>
      </c>
      <c r="C132" s="152"/>
      <c r="D132" s="155"/>
      <c r="E132" s="152"/>
      <c r="F132" s="152">
        <f t="shared" si="26"/>
        <v>0</v>
      </c>
    </row>
    <row r="133" spans="2:6" x14ac:dyDescent="0.25">
      <c r="B133" s="67" t="s">
        <v>149</v>
      </c>
      <c r="C133" s="152"/>
      <c r="D133" s="155"/>
      <c r="E133" s="152"/>
      <c r="F133" s="152">
        <f t="shared" si="26"/>
        <v>0</v>
      </c>
    </row>
    <row r="134" spans="2:6" x14ac:dyDescent="0.25">
      <c r="B134" s="67" t="s">
        <v>142</v>
      </c>
      <c r="C134" s="152">
        <v>0</v>
      </c>
      <c r="D134" s="155"/>
      <c r="E134" s="152"/>
      <c r="F134" s="152">
        <f t="shared" si="26"/>
        <v>0</v>
      </c>
    </row>
    <row r="135" spans="2:6" x14ac:dyDescent="0.25">
      <c r="B135" s="67" t="s">
        <v>162</v>
      </c>
      <c r="C135" s="152">
        <v>0</v>
      </c>
      <c r="D135" s="155">
        <v>0</v>
      </c>
      <c r="E135" s="152"/>
      <c r="F135" s="152">
        <f t="shared" si="26"/>
        <v>0</v>
      </c>
    </row>
    <row r="136" spans="2:6" x14ac:dyDescent="0.25">
      <c r="B136" s="11" t="s">
        <v>20</v>
      </c>
      <c r="C136" s="152">
        <v>0</v>
      </c>
      <c r="D136" s="155">
        <v>0</v>
      </c>
      <c r="E136" s="152">
        <v>1682.7</v>
      </c>
      <c r="F136" s="152">
        <f t="shared" si="26"/>
        <v>1682.7</v>
      </c>
    </row>
    <row r="137" spans="2:6" x14ac:dyDescent="0.25">
      <c r="B137" s="67" t="s">
        <v>28</v>
      </c>
      <c r="C137" s="152">
        <v>0</v>
      </c>
      <c r="D137" s="155">
        <v>0</v>
      </c>
      <c r="E137" s="152"/>
      <c r="F137" s="152">
        <f t="shared" si="26"/>
        <v>0</v>
      </c>
    </row>
    <row r="138" spans="2:6" x14ac:dyDescent="0.25">
      <c r="B138" s="67" t="s">
        <v>140</v>
      </c>
      <c r="C138" s="152">
        <v>0</v>
      </c>
      <c r="D138" s="155">
        <v>0</v>
      </c>
      <c r="E138" s="152"/>
      <c r="F138" s="152">
        <f t="shared" si="26"/>
        <v>0</v>
      </c>
    </row>
    <row r="139" spans="2:6" x14ac:dyDescent="0.25">
      <c r="B139" s="67" t="s">
        <v>147</v>
      </c>
      <c r="C139" s="152"/>
      <c r="D139" s="155"/>
      <c r="E139" s="152"/>
      <c r="F139" s="152">
        <f t="shared" si="26"/>
        <v>0</v>
      </c>
    </row>
    <row r="140" spans="2:6" x14ac:dyDescent="0.25">
      <c r="B140" s="67" t="s">
        <v>163</v>
      </c>
      <c r="C140" s="152"/>
      <c r="D140" s="155"/>
      <c r="E140" s="152"/>
      <c r="F140" s="152">
        <f t="shared" si="26"/>
        <v>0</v>
      </c>
    </row>
    <row r="141" spans="2:6" x14ac:dyDescent="0.25">
      <c r="B141" s="67" t="s">
        <v>165</v>
      </c>
      <c r="C141" s="152"/>
      <c r="D141" s="155"/>
      <c r="E141" s="152"/>
      <c r="F141" s="152">
        <f t="shared" si="26"/>
        <v>0</v>
      </c>
    </row>
    <row r="142" spans="2:6" x14ac:dyDescent="0.25">
      <c r="B142" s="121" t="s">
        <v>151</v>
      </c>
      <c r="C142" s="152"/>
      <c r="D142" s="155"/>
      <c r="E142" s="152"/>
      <c r="F142" s="152">
        <f t="shared" si="26"/>
        <v>0</v>
      </c>
    </row>
    <row r="143" spans="2:6" x14ac:dyDescent="0.25">
      <c r="B143" s="67" t="s">
        <v>63</v>
      </c>
      <c r="C143" s="152"/>
      <c r="D143" s="155"/>
      <c r="E143" s="152"/>
      <c r="F143" s="152">
        <f t="shared" si="26"/>
        <v>0</v>
      </c>
    </row>
    <row r="144" spans="2:6" x14ac:dyDescent="0.25">
      <c r="B144" s="136" t="s">
        <v>193</v>
      </c>
      <c r="C144" s="152"/>
      <c r="D144" s="155"/>
      <c r="E144" s="152"/>
      <c r="F144" s="152">
        <f t="shared" si="26"/>
        <v>0</v>
      </c>
    </row>
    <row r="145" spans="2:6" x14ac:dyDescent="0.25">
      <c r="B145" s="95" t="s">
        <v>194</v>
      </c>
      <c r="C145" s="152"/>
      <c r="D145" s="155"/>
      <c r="E145" s="152"/>
      <c r="F145" s="152">
        <f t="shared" si="26"/>
        <v>0</v>
      </c>
    </row>
    <row r="146" spans="2:6" x14ac:dyDescent="0.25">
      <c r="B146" s="95" t="s">
        <v>191</v>
      </c>
      <c r="C146" s="152"/>
      <c r="D146" s="155"/>
      <c r="E146" s="152"/>
      <c r="F146" s="152">
        <f t="shared" si="26"/>
        <v>0</v>
      </c>
    </row>
    <row r="147" spans="2:6" x14ac:dyDescent="0.25">
      <c r="B147" s="67" t="s">
        <v>152</v>
      </c>
      <c r="C147" s="152">
        <v>2625</v>
      </c>
      <c r="D147" s="155">
        <v>5000</v>
      </c>
      <c r="E147" s="152">
        <v>5000</v>
      </c>
      <c r="F147" s="152">
        <f t="shared" si="26"/>
        <v>12625</v>
      </c>
    </row>
    <row r="148" spans="2:6" x14ac:dyDescent="0.25">
      <c r="B148" s="11" t="s">
        <v>14</v>
      </c>
      <c r="C148" s="152">
        <v>937.5</v>
      </c>
      <c r="D148" s="155">
        <v>1442.3</v>
      </c>
      <c r="E148" s="152">
        <v>1947.11</v>
      </c>
      <c r="F148" s="152">
        <f t="shared" si="26"/>
        <v>4326.91</v>
      </c>
    </row>
    <row r="149" spans="2:6" x14ac:dyDescent="0.25">
      <c r="B149" s="67" t="s">
        <v>156</v>
      </c>
      <c r="C149" s="152"/>
      <c r="D149" s="155"/>
      <c r="E149" s="152"/>
      <c r="F149" s="152">
        <f t="shared" si="26"/>
        <v>0</v>
      </c>
    </row>
    <row r="150" spans="2:6" x14ac:dyDescent="0.25">
      <c r="B150" s="67" t="s">
        <v>76</v>
      </c>
      <c r="C150" s="152">
        <v>0</v>
      </c>
      <c r="D150" s="155">
        <v>0</v>
      </c>
      <c r="E150" s="152"/>
      <c r="F150" s="152">
        <f t="shared" si="26"/>
        <v>0</v>
      </c>
    </row>
    <row r="151" spans="2:6" x14ac:dyDescent="0.25">
      <c r="B151" s="67" t="s">
        <v>35</v>
      </c>
      <c r="C151" s="152"/>
      <c r="D151" s="155"/>
      <c r="E151" s="152"/>
      <c r="F151" s="152">
        <f t="shared" si="26"/>
        <v>0</v>
      </c>
    </row>
    <row r="152" spans="2:6" x14ac:dyDescent="0.25">
      <c r="B152" s="67" t="s">
        <v>21</v>
      </c>
      <c r="C152" s="152"/>
      <c r="D152" s="155"/>
      <c r="E152" s="152"/>
      <c r="F152" s="152">
        <f t="shared" si="26"/>
        <v>0</v>
      </c>
    </row>
    <row r="153" spans="2:6" x14ac:dyDescent="0.25">
      <c r="B153" s="67" t="s">
        <v>166</v>
      </c>
      <c r="C153" s="152"/>
      <c r="D153" s="155"/>
      <c r="E153" s="152"/>
      <c r="F153" s="152">
        <f t="shared" si="26"/>
        <v>0</v>
      </c>
    </row>
    <row r="154" spans="2:6" x14ac:dyDescent="0.25">
      <c r="B154" s="67" t="s">
        <v>62</v>
      </c>
      <c r="C154" s="152"/>
      <c r="D154" s="155"/>
      <c r="E154" s="152"/>
      <c r="F154" s="152">
        <f t="shared" si="26"/>
        <v>0</v>
      </c>
    </row>
    <row r="155" spans="2:6" x14ac:dyDescent="0.25">
      <c r="B155" s="67" t="s">
        <v>153</v>
      </c>
      <c r="C155" s="152"/>
      <c r="D155" s="155"/>
      <c r="E155" s="152"/>
      <c r="F155" s="152">
        <f t="shared" si="26"/>
        <v>0</v>
      </c>
    </row>
    <row r="156" spans="2:6" x14ac:dyDescent="0.25">
      <c r="B156" s="11" t="s">
        <v>24</v>
      </c>
      <c r="C156" s="152"/>
      <c r="D156" s="155"/>
      <c r="E156" s="152">
        <v>1923.07</v>
      </c>
      <c r="F156" s="152">
        <f t="shared" si="26"/>
        <v>1923.07</v>
      </c>
    </row>
    <row r="157" spans="2:6" x14ac:dyDescent="0.25">
      <c r="B157" s="67" t="s">
        <v>159</v>
      </c>
      <c r="C157" s="152"/>
      <c r="D157" s="155"/>
      <c r="E157" s="152"/>
      <c r="F157" s="152">
        <f t="shared" si="26"/>
        <v>0</v>
      </c>
    </row>
    <row r="158" spans="2:6" x14ac:dyDescent="0.25">
      <c r="B158" s="67" t="s">
        <v>36</v>
      </c>
      <c r="C158" s="152"/>
      <c r="D158" s="155">
        <v>0</v>
      </c>
      <c r="E158" s="152"/>
      <c r="F158" s="152">
        <f t="shared" si="26"/>
        <v>0</v>
      </c>
    </row>
    <row r="159" spans="2:6" x14ac:dyDescent="0.25">
      <c r="B159" s="67" t="s">
        <v>154</v>
      </c>
      <c r="C159" s="152">
        <v>875.24</v>
      </c>
      <c r="D159" s="155">
        <v>1250.3499999999999</v>
      </c>
      <c r="E159" s="152">
        <v>1719.23</v>
      </c>
      <c r="F159" s="152">
        <f t="shared" si="26"/>
        <v>3844.8199999999997</v>
      </c>
    </row>
    <row r="160" spans="2:6" x14ac:dyDescent="0.25">
      <c r="B160" s="67" t="s">
        <v>22</v>
      </c>
      <c r="C160" s="152"/>
      <c r="D160" s="155"/>
      <c r="E160" s="152"/>
      <c r="F160" s="152">
        <f t="shared" si="26"/>
        <v>0</v>
      </c>
    </row>
    <row r="161" spans="2:6" x14ac:dyDescent="0.25">
      <c r="B161" s="67" t="s">
        <v>25</v>
      </c>
      <c r="C161" s="152">
        <v>0</v>
      </c>
      <c r="D161" s="155">
        <v>653.85</v>
      </c>
      <c r="E161" s="152">
        <v>1634.61</v>
      </c>
      <c r="F161" s="152">
        <f t="shared" si="26"/>
        <v>2288.46</v>
      </c>
    </row>
    <row r="162" spans="2:6" x14ac:dyDescent="0.25">
      <c r="B162" s="67" t="s">
        <v>146</v>
      </c>
      <c r="C162" s="152"/>
      <c r="D162" s="155"/>
      <c r="E162" s="152"/>
      <c r="F162" s="152">
        <f t="shared" si="26"/>
        <v>0</v>
      </c>
    </row>
    <row r="163" spans="2:6" x14ac:dyDescent="0.25">
      <c r="B163" s="67" t="s">
        <v>161</v>
      </c>
      <c r="C163" s="152"/>
      <c r="D163" s="155"/>
      <c r="E163" s="152"/>
      <c r="F163" s="152">
        <f t="shared" si="26"/>
        <v>0</v>
      </c>
    </row>
    <row r="164" spans="2:6" x14ac:dyDescent="0.25">
      <c r="B164" s="67" t="s">
        <v>126</v>
      </c>
      <c r="C164" s="152"/>
      <c r="D164" s="155"/>
      <c r="E164" s="152"/>
      <c r="F164" s="152">
        <f t="shared" si="26"/>
        <v>0</v>
      </c>
    </row>
    <row r="165" spans="2:6" x14ac:dyDescent="0.25">
      <c r="B165" s="132" t="s">
        <v>139</v>
      </c>
      <c r="C165" s="152">
        <v>2500</v>
      </c>
      <c r="D165" s="155">
        <v>3846.16</v>
      </c>
      <c r="E165" s="152">
        <v>3846.16</v>
      </c>
      <c r="F165" s="152">
        <f t="shared" si="26"/>
        <v>10192.32</v>
      </c>
    </row>
    <row r="166" spans="2:6" x14ac:dyDescent="0.25">
      <c r="B166" s="67" t="s">
        <v>157</v>
      </c>
      <c r="C166" s="152"/>
      <c r="D166" s="155"/>
      <c r="E166" s="152"/>
      <c r="F166" s="152">
        <f t="shared" si="26"/>
        <v>0</v>
      </c>
    </row>
    <row r="167" spans="2:6" x14ac:dyDescent="0.25">
      <c r="B167" s="67" t="s">
        <v>119</v>
      </c>
      <c r="C167" s="152"/>
      <c r="D167" s="155"/>
      <c r="E167" s="152"/>
      <c r="F167" s="152">
        <f t="shared" si="26"/>
        <v>0</v>
      </c>
    </row>
    <row r="168" spans="2:6" x14ac:dyDescent="0.25">
      <c r="B168" s="67" t="s">
        <v>88</v>
      </c>
      <c r="C168" s="152"/>
      <c r="D168" s="155"/>
      <c r="E168" s="152"/>
      <c r="F168" s="152">
        <f t="shared" si="26"/>
        <v>0</v>
      </c>
    </row>
    <row r="169" spans="2:6" x14ac:dyDescent="0.25">
      <c r="B169" s="67" t="s">
        <v>137</v>
      </c>
      <c r="C169" s="152"/>
      <c r="D169" s="155"/>
      <c r="E169" s="152"/>
      <c r="F169" s="152">
        <f t="shared" si="26"/>
        <v>0</v>
      </c>
    </row>
    <row r="170" spans="2:6" x14ac:dyDescent="0.25">
      <c r="B170" s="67" t="s">
        <v>69</v>
      </c>
      <c r="C170" s="152"/>
      <c r="D170" s="155"/>
      <c r="E170" s="152"/>
      <c r="F170" s="152">
        <f t="shared" si="26"/>
        <v>0</v>
      </c>
    </row>
    <row r="171" spans="2:6" x14ac:dyDescent="0.25">
      <c r="B171" s="67" t="s">
        <v>101</v>
      </c>
      <c r="C171" s="152"/>
      <c r="D171" s="155"/>
      <c r="E171" s="152"/>
      <c r="F171" s="152">
        <f t="shared" si="26"/>
        <v>0</v>
      </c>
    </row>
    <row r="172" spans="2:6" x14ac:dyDescent="0.25">
      <c r="B172" s="67" t="s">
        <v>158</v>
      </c>
      <c r="C172" s="152"/>
      <c r="D172" s="155"/>
      <c r="E172" s="152"/>
      <c r="F172" s="152">
        <f t="shared" si="26"/>
        <v>0</v>
      </c>
    </row>
    <row r="173" spans="2:6" x14ac:dyDescent="0.25">
      <c r="B173" s="95" t="s">
        <v>188</v>
      </c>
      <c r="C173" s="152"/>
      <c r="D173" s="155"/>
      <c r="E173" s="152"/>
      <c r="F173" s="152">
        <f t="shared" si="26"/>
        <v>0</v>
      </c>
    </row>
    <row r="174" spans="2:6" x14ac:dyDescent="0.25">
      <c r="B174" s="67" t="s">
        <v>41</v>
      </c>
      <c r="C174" s="152"/>
      <c r="D174" s="155"/>
      <c r="E174" s="152"/>
      <c r="F174" s="152">
        <f t="shared" si="26"/>
        <v>0</v>
      </c>
    </row>
    <row r="175" spans="2:6" x14ac:dyDescent="0.25">
      <c r="B175" s="67" t="s">
        <v>34</v>
      </c>
      <c r="C175" s="152"/>
      <c r="D175" s="155"/>
      <c r="E175" s="152"/>
      <c r="F175" s="152">
        <f t="shared" si="26"/>
        <v>0</v>
      </c>
    </row>
    <row r="176" spans="2:6" x14ac:dyDescent="0.25">
      <c r="B176" s="95" t="s">
        <v>187</v>
      </c>
      <c r="C176" s="152"/>
      <c r="D176" s="155"/>
      <c r="E176" s="152"/>
      <c r="F176" s="152">
        <f t="shared" si="26"/>
        <v>0</v>
      </c>
    </row>
    <row r="177" spans="2:6" x14ac:dyDescent="0.25">
      <c r="B177" s="11" t="s">
        <v>16</v>
      </c>
      <c r="C177" s="152">
        <v>702.42</v>
      </c>
      <c r="D177" s="155">
        <v>1003.46</v>
      </c>
      <c r="E177" s="152">
        <v>2207.63</v>
      </c>
      <c r="F177" s="152">
        <f t="shared" si="26"/>
        <v>3913.51</v>
      </c>
    </row>
    <row r="178" spans="2:6" x14ac:dyDescent="0.25">
      <c r="B178" s="11" t="s">
        <v>17</v>
      </c>
      <c r="C178" s="152">
        <v>1106.6400000000001</v>
      </c>
      <c r="D178" s="155">
        <v>1383.3</v>
      </c>
      <c r="E178" s="152">
        <v>1844.4</v>
      </c>
      <c r="F178" s="152">
        <f t="shared" si="26"/>
        <v>4334.34</v>
      </c>
    </row>
    <row r="179" spans="2:6" x14ac:dyDescent="0.25">
      <c r="B179" s="67" t="s">
        <v>155</v>
      </c>
      <c r="C179" s="152"/>
      <c r="D179" s="155"/>
      <c r="E179" s="152"/>
      <c r="F179" s="152">
        <f t="shared" si="26"/>
        <v>0</v>
      </c>
    </row>
    <row r="180" spans="2:6" x14ac:dyDescent="0.25">
      <c r="B180" s="67" t="s">
        <v>19</v>
      </c>
      <c r="C180" s="152"/>
      <c r="D180" s="155"/>
      <c r="E180" s="152"/>
      <c r="F180" s="152">
        <f t="shared" si="26"/>
        <v>0</v>
      </c>
    </row>
    <row r="181" spans="2:6" x14ac:dyDescent="0.25">
      <c r="B181" s="67" t="s">
        <v>150</v>
      </c>
      <c r="C181" s="152"/>
      <c r="D181" s="155"/>
      <c r="E181" s="152"/>
      <c r="F181" s="152">
        <f t="shared" si="26"/>
        <v>0</v>
      </c>
    </row>
    <row r="182" spans="2:6" x14ac:dyDescent="0.25">
      <c r="B182" s="67" t="s">
        <v>164</v>
      </c>
      <c r="C182" s="152">
        <v>0</v>
      </c>
      <c r="D182" s="155">
        <v>0</v>
      </c>
      <c r="E182" s="152"/>
      <c r="F182" s="152">
        <f t="shared" ref="F182:F200" si="27">+E182+D182+C182</f>
        <v>0</v>
      </c>
    </row>
    <row r="183" spans="2:6" x14ac:dyDescent="0.25">
      <c r="B183" s="67" t="s">
        <v>27</v>
      </c>
      <c r="C183" s="152"/>
      <c r="D183" s="155"/>
      <c r="E183" s="152"/>
      <c r="F183" s="152">
        <f t="shared" si="27"/>
        <v>0</v>
      </c>
    </row>
    <row r="184" spans="2:6" x14ac:dyDescent="0.25">
      <c r="B184" s="67" t="s">
        <v>127</v>
      </c>
      <c r="C184" s="152">
        <v>0</v>
      </c>
      <c r="D184" s="155"/>
      <c r="E184" s="152"/>
      <c r="F184" s="152">
        <f t="shared" si="27"/>
        <v>0</v>
      </c>
    </row>
    <row r="185" spans="2:6" x14ac:dyDescent="0.25">
      <c r="B185" s="67" t="s">
        <v>160</v>
      </c>
      <c r="C185" s="152"/>
      <c r="D185" s="155"/>
      <c r="E185" s="152"/>
      <c r="F185" s="152">
        <f t="shared" si="27"/>
        <v>0</v>
      </c>
    </row>
    <row r="186" spans="2:6" x14ac:dyDescent="0.25">
      <c r="B186" s="132" t="s">
        <v>124</v>
      </c>
      <c r="C186" s="152">
        <v>3250</v>
      </c>
      <c r="D186" s="155">
        <v>5000</v>
      </c>
      <c r="E186" s="152">
        <v>5000</v>
      </c>
      <c r="F186" s="152">
        <f t="shared" si="27"/>
        <v>13250</v>
      </c>
    </row>
    <row r="187" spans="2:6" x14ac:dyDescent="0.25">
      <c r="B187" s="115" t="s">
        <v>138</v>
      </c>
      <c r="C187" s="152"/>
      <c r="D187" s="155"/>
      <c r="E187" s="152"/>
      <c r="F187" s="152">
        <f t="shared" si="27"/>
        <v>0</v>
      </c>
    </row>
    <row r="188" spans="2:6" x14ac:dyDescent="0.25">
      <c r="B188" s="95" t="s">
        <v>122</v>
      </c>
      <c r="C188" s="152"/>
      <c r="D188" s="155"/>
      <c r="E188" s="152"/>
      <c r="F188" s="152">
        <f t="shared" si="27"/>
        <v>0</v>
      </c>
    </row>
    <row r="189" spans="2:6" x14ac:dyDescent="0.25">
      <c r="B189" s="95" t="s">
        <v>168</v>
      </c>
      <c r="C189" s="152"/>
      <c r="D189" s="155"/>
      <c r="E189" s="152"/>
      <c r="F189" s="152">
        <f t="shared" si="27"/>
        <v>0</v>
      </c>
    </row>
    <row r="190" spans="2:6" x14ac:dyDescent="0.25">
      <c r="B190" s="95" t="s">
        <v>169</v>
      </c>
      <c r="C190" s="152"/>
      <c r="D190" s="155"/>
      <c r="E190" s="152"/>
      <c r="F190" s="152">
        <f t="shared" si="27"/>
        <v>0</v>
      </c>
    </row>
    <row r="191" spans="2:6" x14ac:dyDescent="0.25">
      <c r="B191" s="95" t="s">
        <v>122</v>
      </c>
      <c r="C191" s="152"/>
      <c r="D191" s="155"/>
      <c r="E191" s="152"/>
      <c r="F191" s="152">
        <f t="shared" si="27"/>
        <v>0</v>
      </c>
    </row>
    <row r="192" spans="2:6" x14ac:dyDescent="0.25">
      <c r="B192" s="95" t="s">
        <v>122</v>
      </c>
      <c r="C192" s="152"/>
      <c r="D192" s="155"/>
      <c r="E192" s="152"/>
      <c r="F192" s="152">
        <f t="shared" si="27"/>
        <v>0</v>
      </c>
    </row>
    <row r="193" spans="2:6" x14ac:dyDescent="0.25">
      <c r="B193" s="95" t="s">
        <v>122</v>
      </c>
      <c r="C193" s="152"/>
      <c r="D193" s="155"/>
      <c r="E193" s="152"/>
      <c r="F193" s="152">
        <f t="shared" si="27"/>
        <v>0</v>
      </c>
    </row>
    <row r="194" spans="2:6" x14ac:dyDescent="0.25">
      <c r="B194" s="95" t="s">
        <v>122</v>
      </c>
      <c r="C194" s="152"/>
      <c r="D194" s="155"/>
      <c r="E194" s="152"/>
      <c r="F194" s="152">
        <f t="shared" si="27"/>
        <v>0</v>
      </c>
    </row>
    <row r="195" spans="2:6" x14ac:dyDescent="0.25">
      <c r="B195" s="67" t="s">
        <v>185</v>
      </c>
      <c r="C195" s="152"/>
      <c r="D195" s="155">
        <v>3653.85</v>
      </c>
      <c r="E195" s="152">
        <v>3653.86</v>
      </c>
      <c r="F195" s="152">
        <f t="shared" si="27"/>
        <v>7307.71</v>
      </c>
    </row>
    <row r="196" spans="2:6" x14ac:dyDescent="0.25">
      <c r="B196" s="95" t="str">
        <f>+B194</f>
        <v>TBH - Case Manager</v>
      </c>
      <c r="C196" s="152"/>
      <c r="D196" s="155"/>
      <c r="E196" s="152"/>
      <c r="F196" s="152">
        <f t="shared" si="27"/>
        <v>0</v>
      </c>
    </row>
    <row r="197" spans="2:6" x14ac:dyDescent="0.25">
      <c r="B197" s="122" t="s">
        <v>167</v>
      </c>
      <c r="C197" s="152"/>
      <c r="D197" s="155"/>
      <c r="E197" s="152"/>
      <c r="F197" s="152">
        <f t="shared" si="27"/>
        <v>0</v>
      </c>
    </row>
    <row r="198" spans="2:6" x14ac:dyDescent="0.25">
      <c r="B198" s="95" t="s">
        <v>186</v>
      </c>
      <c r="C198" s="152"/>
      <c r="D198" s="155"/>
      <c r="E198" s="152"/>
      <c r="F198" s="152">
        <f t="shared" si="27"/>
        <v>0</v>
      </c>
    </row>
    <row r="199" spans="2:6" x14ac:dyDescent="0.25">
      <c r="B199" s="95" t="s">
        <v>123</v>
      </c>
      <c r="C199" s="152"/>
      <c r="D199" s="155"/>
      <c r="E199" s="152"/>
      <c r="F199" s="152">
        <f t="shared" si="27"/>
        <v>0</v>
      </c>
    </row>
    <row r="200" spans="2:6" x14ac:dyDescent="0.25">
      <c r="B200" s="95" t="s">
        <v>190</v>
      </c>
      <c r="C200" s="153"/>
      <c r="D200" s="156"/>
      <c r="E200" s="153"/>
      <c r="F200" s="153">
        <f t="shared" si="27"/>
        <v>0</v>
      </c>
    </row>
    <row r="201" spans="2:6" x14ac:dyDescent="0.25">
      <c r="C201" s="86"/>
      <c r="D201" s="86"/>
    </row>
    <row r="202" spans="2:6" x14ac:dyDescent="0.25">
      <c r="C202" s="86">
        <f>SUM(C117:C201)</f>
        <v>13927.73</v>
      </c>
      <c r="D202" s="86">
        <f t="shared" ref="D202:F202" si="28">SUM(D117:D201)</f>
        <v>26262.12</v>
      </c>
      <c r="E202" s="86">
        <f t="shared" si="28"/>
        <v>36167.910000000003</v>
      </c>
      <c r="F202" s="86">
        <f t="shared" si="28"/>
        <v>76357.760000000009</v>
      </c>
    </row>
    <row r="203" spans="2:6" x14ac:dyDescent="0.25">
      <c r="E203" t="s">
        <v>12</v>
      </c>
    </row>
    <row r="204" spans="2:6" x14ac:dyDescent="0.25">
      <c r="E204" s="30" t="s">
        <v>12</v>
      </c>
    </row>
    <row r="220" spans="4:5" x14ac:dyDescent="0.25">
      <c r="D220" t="s">
        <v>12</v>
      </c>
      <c r="E220" t="s">
        <v>12</v>
      </c>
    </row>
    <row r="221" spans="4:5" x14ac:dyDescent="0.25">
      <c r="D221" t="s">
        <v>12</v>
      </c>
      <c r="E221" t="s">
        <v>12</v>
      </c>
    </row>
    <row r="222" spans="4:5" x14ac:dyDescent="0.25">
      <c r="D222" t="s">
        <v>12</v>
      </c>
      <c r="E222" t="s">
        <v>12</v>
      </c>
    </row>
    <row r="223" spans="4:5" x14ac:dyDescent="0.25">
      <c r="D223" t="s">
        <v>12</v>
      </c>
    </row>
    <row r="224" spans="4:5" x14ac:dyDescent="0.25">
      <c r="D224" t="s">
        <v>12</v>
      </c>
    </row>
    <row r="225" spans="4:4" x14ac:dyDescent="0.25">
      <c r="D225" t="s">
        <v>12</v>
      </c>
    </row>
    <row r="226" spans="4:4" x14ac:dyDescent="0.25">
      <c r="D226" t="s">
        <v>12</v>
      </c>
    </row>
    <row r="227" spans="4:4" x14ac:dyDescent="0.25">
      <c r="D227" t="s">
        <v>12</v>
      </c>
    </row>
    <row r="228" spans="4:4" x14ac:dyDescent="0.25">
      <c r="D228" t="s">
        <v>12</v>
      </c>
    </row>
    <row r="229" spans="4:4" x14ac:dyDescent="0.25">
      <c r="D229" t="s">
        <v>12</v>
      </c>
    </row>
    <row r="230" spans="4:4" x14ac:dyDescent="0.25">
      <c r="D230" t="s">
        <v>12</v>
      </c>
    </row>
    <row r="231" spans="4:4" x14ac:dyDescent="0.25">
      <c r="D231" t="s">
        <v>12</v>
      </c>
    </row>
    <row r="232" spans="4:4" x14ac:dyDescent="0.25">
      <c r="D232" t="s">
        <v>12</v>
      </c>
    </row>
    <row r="233" spans="4:4" x14ac:dyDescent="0.25">
      <c r="D233" t="s">
        <v>12</v>
      </c>
    </row>
    <row r="234" spans="4:4" x14ac:dyDescent="0.25">
      <c r="D234" t="s">
        <v>12</v>
      </c>
    </row>
    <row r="235" spans="4:4" x14ac:dyDescent="0.25">
      <c r="D235" t="s">
        <v>12</v>
      </c>
    </row>
    <row r="236" spans="4:4" x14ac:dyDescent="0.25">
      <c r="D236" t="s">
        <v>12</v>
      </c>
    </row>
    <row r="237" spans="4:4" x14ac:dyDescent="0.25">
      <c r="D237" t="s">
        <v>12</v>
      </c>
    </row>
    <row r="238" spans="4:4" x14ac:dyDescent="0.25">
      <c r="D238" t="s">
        <v>12</v>
      </c>
    </row>
    <row r="239" spans="4:4" x14ac:dyDescent="0.25">
      <c r="D239" t="s">
        <v>12</v>
      </c>
    </row>
    <row r="240" spans="4:4" x14ac:dyDescent="0.25">
      <c r="D240" t="s">
        <v>12</v>
      </c>
    </row>
    <row r="241" spans="4:10" x14ac:dyDescent="0.25">
      <c r="D241" t="s">
        <v>12</v>
      </c>
    </row>
    <row r="242" spans="4:10" x14ac:dyDescent="0.25">
      <c r="D242" t="s">
        <v>12</v>
      </c>
    </row>
    <row r="243" spans="4:10" x14ac:dyDescent="0.25">
      <c r="D243" t="s">
        <v>12</v>
      </c>
    </row>
    <row r="244" spans="4:10" x14ac:dyDescent="0.25">
      <c r="D244" t="s">
        <v>12</v>
      </c>
    </row>
    <row r="245" spans="4:10" x14ac:dyDescent="0.25">
      <c r="D245" t="s">
        <v>12</v>
      </c>
    </row>
    <row r="246" spans="4:10" x14ac:dyDescent="0.25">
      <c r="D246" t="s">
        <v>12</v>
      </c>
    </row>
    <row r="247" spans="4:10" x14ac:dyDescent="0.25">
      <c r="D247" t="s">
        <v>12</v>
      </c>
    </row>
    <row r="248" spans="4:10" x14ac:dyDescent="0.25">
      <c r="D248" t="s">
        <v>12</v>
      </c>
    </row>
    <row r="249" spans="4:10" x14ac:dyDescent="0.25">
      <c r="D249" t="s">
        <v>12</v>
      </c>
    </row>
    <row r="250" spans="4:10" x14ac:dyDescent="0.25">
      <c r="E250" t="s">
        <v>12</v>
      </c>
    </row>
    <row r="251" spans="4:10" x14ac:dyDescent="0.25">
      <c r="E251" t="s">
        <v>12</v>
      </c>
      <c r="F251" t="s">
        <v>12</v>
      </c>
      <c r="G251" t="s">
        <v>12</v>
      </c>
      <c r="H251" t="s">
        <v>12</v>
      </c>
      <c r="I251" t="s">
        <v>12</v>
      </c>
      <c r="J251" t="s">
        <v>12</v>
      </c>
    </row>
    <row r="252" spans="4:10" x14ac:dyDescent="0.25">
      <c r="I252" t="s">
        <v>12</v>
      </c>
    </row>
    <row r="253" spans="4:10" x14ac:dyDescent="0.25">
      <c r="E253" t="s">
        <v>12</v>
      </c>
      <c r="F253" t="s">
        <v>12</v>
      </c>
    </row>
    <row r="259" spans="5:6" x14ac:dyDescent="0.25">
      <c r="E259" t="s">
        <v>12</v>
      </c>
      <c r="F259" t="s">
        <v>12</v>
      </c>
    </row>
    <row r="260" spans="5:6" x14ac:dyDescent="0.25">
      <c r="E260" t="s">
        <v>12</v>
      </c>
      <c r="F260" t="s">
        <v>12</v>
      </c>
    </row>
    <row r="261" spans="5:6" x14ac:dyDescent="0.25">
      <c r="F261" t="s">
        <v>12</v>
      </c>
    </row>
  </sheetData>
  <sortState xmlns:xlrd2="http://schemas.microsoft.com/office/spreadsheetml/2017/richdata2" ref="B5:BJ73">
    <sortCondition ref="B5:B73"/>
  </sortState>
  <mergeCells count="5">
    <mergeCell ref="AX2:BB2"/>
    <mergeCell ref="AC2:AK2"/>
    <mergeCell ref="AM2:AU2"/>
    <mergeCell ref="C115:D115"/>
    <mergeCell ref="AV2:AW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03C0-FF8C-4324-B218-B76D248FD404}">
  <dimension ref="C9:R28"/>
  <sheetViews>
    <sheetView workbookViewId="0">
      <selection activeCell="R31" sqref="R31"/>
    </sheetView>
  </sheetViews>
  <sheetFormatPr defaultRowHeight="15" x14ac:dyDescent="0.25"/>
  <cols>
    <col min="3" max="3" width="5.5703125" customWidth="1"/>
    <col min="4" max="4" width="20.5703125" customWidth="1"/>
    <col min="5" max="5" width="14.140625" customWidth="1"/>
    <col min="6" max="6" width="13.85546875" customWidth="1"/>
    <col min="7" max="7" width="10.140625" customWidth="1"/>
    <col min="8" max="8" width="9.5703125" customWidth="1"/>
    <col min="9" max="9" width="9.7109375" customWidth="1"/>
    <col min="10" max="10" width="9.140625" customWidth="1"/>
    <col min="11" max="11" width="9.85546875" bestFit="1" customWidth="1"/>
    <col min="12" max="12" width="10.7109375" bestFit="1" customWidth="1"/>
    <col min="13" max="13" width="9.42578125" bestFit="1" customWidth="1"/>
    <col min="14" max="14" width="9.85546875" bestFit="1" customWidth="1"/>
    <col min="15" max="15" width="10.7109375" bestFit="1" customWidth="1"/>
    <col min="16" max="17" width="9.85546875" bestFit="1" customWidth="1"/>
    <col min="18" max="18" width="11.5703125" bestFit="1" customWidth="1"/>
  </cols>
  <sheetData>
    <row r="9" spans="3:18" x14ac:dyDescent="0.25">
      <c r="E9" s="139" t="str">
        <f>+F9</f>
        <v>PC Resettlement</v>
      </c>
      <c r="F9" s="140" t="s">
        <v>197</v>
      </c>
      <c r="G9" s="139" t="s">
        <v>205</v>
      </c>
      <c r="H9" s="139" t="s">
        <v>195</v>
      </c>
      <c r="I9" s="140" t="s">
        <v>196</v>
      </c>
      <c r="J9" s="139">
        <v>5051</v>
      </c>
      <c r="K9" s="140" t="s">
        <v>199</v>
      </c>
      <c r="L9" s="139" t="s">
        <v>201</v>
      </c>
      <c r="M9" s="140" t="s">
        <v>206</v>
      </c>
      <c r="N9" s="139" t="s">
        <v>207</v>
      </c>
      <c r="O9" s="140" t="s">
        <v>208</v>
      </c>
      <c r="P9" s="139" t="s">
        <v>209</v>
      </c>
      <c r="Q9" s="141" t="s">
        <v>210</v>
      </c>
    </row>
    <row r="10" spans="3:18" x14ac:dyDescent="0.25">
      <c r="E10" s="142" t="s">
        <v>203</v>
      </c>
      <c r="F10" s="143" t="s">
        <v>202</v>
      </c>
      <c r="G10" s="142" t="s">
        <v>204</v>
      </c>
      <c r="H10" s="142">
        <v>5059</v>
      </c>
      <c r="I10" s="143">
        <v>5196</v>
      </c>
      <c r="J10" s="142" t="s">
        <v>198</v>
      </c>
      <c r="K10" s="143" t="s">
        <v>200</v>
      </c>
      <c r="L10" s="142">
        <v>5052</v>
      </c>
      <c r="M10" s="143">
        <v>5061</v>
      </c>
      <c r="N10" s="142">
        <v>5117</v>
      </c>
      <c r="O10" s="143">
        <v>5118</v>
      </c>
      <c r="P10" s="142">
        <v>5119</v>
      </c>
      <c r="Q10" s="144">
        <v>5151</v>
      </c>
      <c r="R10" s="138" t="s">
        <v>11</v>
      </c>
    </row>
    <row r="11" spans="3:18" x14ac:dyDescent="0.25">
      <c r="C11" s="145">
        <v>1</v>
      </c>
      <c r="D11" s="22" t="s">
        <v>193</v>
      </c>
      <c r="E11" s="148">
        <v>0</v>
      </c>
      <c r="F11" s="148">
        <v>0</v>
      </c>
      <c r="G11" s="148">
        <v>0</v>
      </c>
      <c r="H11" s="148">
        <f>+'FY26'!AE31</f>
        <v>49203</v>
      </c>
      <c r="I11" s="148">
        <v>0</v>
      </c>
      <c r="J11" s="148">
        <v>0</v>
      </c>
      <c r="K11" s="148">
        <v>0</v>
      </c>
      <c r="L11" s="148">
        <v>0</v>
      </c>
      <c r="M11" s="148">
        <v>0</v>
      </c>
      <c r="N11" s="148">
        <v>0</v>
      </c>
      <c r="O11" s="148">
        <v>0</v>
      </c>
      <c r="P11" s="148">
        <v>0</v>
      </c>
      <c r="Q11" s="148">
        <v>0</v>
      </c>
      <c r="R11" s="137">
        <f>SUM(E11:Q11)</f>
        <v>49203</v>
      </c>
    </row>
    <row r="12" spans="3:18" x14ac:dyDescent="0.25">
      <c r="C12" s="146">
        <v>2</v>
      </c>
      <c r="D12" s="22" t="str">
        <f>+'FY26'!B32</f>
        <v>TBH - Ganna Poskara</v>
      </c>
      <c r="E12" s="148">
        <v>0</v>
      </c>
      <c r="F12" s="148">
        <v>0</v>
      </c>
      <c r="G12" s="148">
        <v>0</v>
      </c>
      <c r="H12" s="148">
        <v>0</v>
      </c>
      <c r="I12" s="148">
        <f>+'FY26'!AJ32</f>
        <v>54000</v>
      </c>
      <c r="J12" s="148">
        <v>0</v>
      </c>
      <c r="K12" s="148">
        <v>0</v>
      </c>
      <c r="L12" s="148">
        <v>0</v>
      </c>
      <c r="M12" s="148">
        <v>0</v>
      </c>
      <c r="N12" s="148">
        <v>0</v>
      </c>
      <c r="O12" s="148">
        <v>0</v>
      </c>
      <c r="P12" s="148">
        <v>0</v>
      </c>
      <c r="Q12" s="148">
        <v>0</v>
      </c>
      <c r="R12" s="137">
        <f>SUM(E12:Q12)</f>
        <v>54000</v>
      </c>
    </row>
    <row r="13" spans="3:18" x14ac:dyDescent="0.25">
      <c r="C13" s="146">
        <v>3</v>
      </c>
      <c r="D13" s="22" t="str">
        <f>+'FY26'!B33</f>
        <v>TBH - Gelila Woodimagen</v>
      </c>
      <c r="E13" s="148">
        <v>0</v>
      </c>
      <c r="F13" s="148">
        <v>0</v>
      </c>
      <c r="G13" s="148">
        <v>0</v>
      </c>
      <c r="H13" s="148">
        <v>0</v>
      </c>
      <c r="I13" s="148">
        <f>+'FY26'!AJ33</f>
        <v>51000</v>
      </c>
      <c r="J13" s="148">
        <v>0</v>
      </c>
      <c r="K13" s="148">
        <v>0</v>
      </c>
      <c r="L13" s="148">
        <v>0</v>
      </c>
      <c r="M13" s="148">
        <v>0</v>
      </c>
      <c r="N13" s="148">
        <v>0</v>
      </c>
      <c r="O13" s="148">
        <v>0</v>
      </c>
      <c r="P13" s="148">
        <v>0</v>
      </c>
      <c r="Q13" s="148">
        <v>0</v>
      </c>
      <c r="R13" s="137">
        <f t="shared" ref="R13:R27" si="0">SUM(E13:Q13)</f>
        <v>51000</v>
      </c>
    </row>
    <row r="14" spans="3:18" x14ac:dyDescent="0.25">
      <c r="C14" s="146">
        <v>4</v>
      </c>
      <c r="D14" s="22" t="str">
        <f>+'FY26'!B60</f>
        <v>TBH - Razia Mahrami</v>
      </c>
      <c r="E14" s="148">
        <v>0</v>
      </c>
      <c r="F14" s="148">
        <v>0</v>
      </c>
      <c r="G14" s="148">
        <v>0</v>
      </c>
      <c r="H14" s="148">
        <f>+'FY26'!AE60</f>
        <v>72666</v>
      </c>
      <c r="I14" s="148">
        <v>0</v>
      </c>
      <c r="J14" s="148">
        <v>0</v>
      </c>
      <c r="K14" s="148">
        <v>0</v>
      </c>
      <c r="L14" s="148">
        <v>0</v>
      </c>
      <c r="M14" s="148">
        <v>0</v>
      </c>
      <c r="N14" s="148">
        <v>0</v>
      </c>
      <c r="O14" s="148">
        <v>0</v>
      </c>
      <c r="P14" s="148">
        <v>0</v>
      </c>
      <c r="Q14" s="148">
        <v>0</v>
      </c>
      <c r="R14" s="137">
        <f t="shared" si="0"/>
        <v>72666</v>
      </c>
    </row>
    <row r="15" spans="3:18" x14ac:dyDescent="0.25">
      <c r="C15" s="146">
        <v>5</v>
      </c>
      <c r="D15" s="22" t="str">
        <f>+'FY26'!B63</f>
        <v>TBH - Albab</v>
      </c>
      <c r="E15" s="148">
        <v>0</v>
      </c>
      <c r="F15" s="148">
        <v>0</v>
      </c>
      <c r="G15" s="148">
        <v>0</v>
      </c>
      <c r="H15" s="148">
        <f>+'FY26'!AE63</f>
        <v>42500</v>
      </c>
      <c r="I15" s="148">
        <v>0</v>
      </c>
      <c r="J15" s="148">
        <v>0</v>
      </c>
      <c r="K15" s="148">
        <v>0</v>
      </c>
      <c r="L15" s="148">
        <v>0</v>
      </c>
      <c r="M15" s="148">
        <v>0</v>
      </c>
      <c r="N15" s="148">
        <v>0</v>
      </c>
      <c r="O15" s="148">
        <v>0</v>
      </c>
      <c r="P15" s="148">
        <v>0</v>
      </c>
      <c r="Q15" s="148">
        <v>0</v>
      </c>
      <c r="R15" s="137">
        <f t="shared" si="0"/>
        <v>42500</v>
      </c>
    </row>
    <row r="16" spans="3:18" x14ac:dyDescent="0.25">
      <c r="C16" s="146">
        <v>6</v>
      </c>
      <c r="D16" s="22" t="str">
        <f>+'FY26'!B76</f>
        <v>TBH - Outreach Coordinator</v>
      </c>
      <c r="E16" s="148">
        <v>25000</v>
      </c>
      <c r="F16" s="148">
        <f>+'FY26'!AY76</f>
        <v>13125</v>
      </c>
      <c r="G16" s="148">
        <v>0</v>
      </c>
      <c r="H16" s="148">
        <v>0</v>
      </c>
      <c r="I16" s="148">
        <v>0</v>
      </c>
      <c r="J16" s="148">
        <v>0</v>
      </c>
      <c r="K16" s="148">
        <v>0</v>
      </c>
      <c r="L16" s="148">
        <v>0</v>
      </c>
      <c r="M16" s="148">
        <v>0</v>
      </c>
      <c r="N16" s="148">
        <v>0</v>
      </c>
      <c r="O16" s="148">
        <v>0</v>
      </c>
      <c r="P16" s="148">
        <v>0</v>
      </c>
      <c r="Q16" s="148">
        <v>0</v>
      </c>
      <c r="R16" s="137">
        <f t="shared" si="0"/>
        <v>38125</v>
      </c>
    </row>
    <row r="17" spans="3:18" x14ac:dyDescent="0.25">
      <c r="C17" s="146">
        <v>7</v>
      </c>
      <c r="D17" s="22" t="str">
        <f>+'FY26'!B77</f>
        <v>TBH - Donation Assistant</v>
      </c>
      <c r="E17" s="148">
        <v>25000</v>
      </c>
      <c r="F17" s="148">
        <f>+'FY26'!AY77</f>
        <v>13125</v>
      </c>
      <c r="G17" s="148">
        <v>0</v>
      </c>
      <c r="H17" s="148">
        <v>0</v>
      </c>
      <c r="I17" s="148">
        <v>0</v>
      </c>
      <c r="J17" s="148">
        <v>0</v>
      </c>
      <c r="K17" s="148">
        <v>0</v>
      </c>
      <c r="L17" s="148">
        <v>0</v>
      </c>
      <c r="M17" s="148">
        <v>0</v>
      </c>
      <c r="N17" s="148">
        <v>0</v>
      </c>
      <c r="O17" s="148">
        <v>0</v>
      </c>
      <c r="P17" s="148">
        <v>0</v>
      </c>
      <c r="Q17" s="148">
        <v>0</v>
      </c>
      <c r="R17" s="137">
        <f t="shared" si="0"/>
        <v>38125</v>
      </c>
    </row>
    <row r="18" spans="3:18" x14ac:dyDescent="0.25">
      <c r="C18" s="146">
        <v>8</v>
      </c>
      <c r="D18" s="22" t="str">
        <f>+'FY26'!B78</f>
        <v>TBH - Case Manager</v>
      </c>
      <c r="E18" s="148">
        <v>0</v>
      </c>
      <c r="F18" s="148">
        <v>0</v>
      </c>
      <c r="G18" s="148">
        <v>0</v>
      </c>
      <c r="H18" s="148">
        <v>0</v>
      </c>
      <c r="I18" s="148">
        <v>0</v>
      </c>
      <c r="J18" s="148">
        <f>+'FY26'!AC78</f>
        <v>27500</v>
      </c>
      <c r="K18" s="148">
        <v>0</v>
      </c>
      <c r="L18" s="148">
        <v>0</v>
      </c>
      <c r="M18" s="148">
        <v>0</v>
      </c>
      <c r="N18" s="148">
        <v>0</v>
      </c>
      <c r="O18" s="148">
        <v>0</v>
      </c>
      <c r="P18" s="148">
        <v>0</v>
      </c>
      <c r="Q18" s="148">
        <v>0</v>
      </c>
      <c r="R18" s="137">
        <f t="shared" si="0"/>
        <v>27500</v>
      </c>
    </row>
    <row r="19" spans="3:18" x14ac:dyDescent="0.25">
      <c r="C19" s="146">
        <v>9</v>
      </c>
      <c r="D19" s="22" t="str">
        <f>+'FY26'!B78</f>
        <v>TBH - Case Manager</v>
      </c>
      <c r="E19" s="148">
        <v>0</v>
      </c>
      <c r="F19" s="148">
        <v>0</v>
      </c>
      <c r="G19" s="148">
        <v>0</v>
      </c>
      <c r="H19" s="148">
        <v>0</v>
      </c>
      <c r="I19" s="148">
        <v>0</v>
      </c>
      <c r="J19" s="148">
        <v>0</v>
      </c>
      <c r="K19" s="148">
        <v>52500</v>
      </c>
      <c r="L19" s="148">
        <v>0</v>
      </c>
      <c r="M19" s="148">
        <v>0</v>
      </c>
      <c r="N19" s="148">
        <v>0</v>
      </c>
      <c r="O19" s="148">
        <v>0</v>
      </c>
      <c r="P19" s="148">
        <v>0</v>
      </c>
      <c r="Q19" s="148">
        <v>0</v>
      </c>
      <c r="R19" s="137">
        <f t="shared" si="0"/>
        <v>52500</v>
      </c>
    </row>
    <row r="20" spans="3:18" x14ac:dyDescent="0.25">
      <c r="C20" s="146">
        <v>10</v>
      </c>
      <c r="D20" s="22" t="str">
        <f>+D19</f>
        <v>TBH - Case Manager</v>
      </c>
      <c r="E20" s="148">
        <v>0</v>
      </c>
      <c r="F20" s="148">
        <v>0</v>
      </c>
      <c r="G20" s="148">
        <v>0</v>
      </c>
      <c r="H20" s="148">
        <v>0</v>
      </c>
      <c r="I20" s="148">
        <v>0</v>
      </c>
      <c r="J20" s="148">
        <v>0</v>
      </c>
      <c r="K20" s="148">
        <v>0</v>
      </c>
      <c r="L20" s="148">
        <v>52500</v>
      </c>
      <c r="M20" s="148">
        <v>0</v>
      </c>
      <c r="N20" s="148">
        <v>0</v>
      </c>
      <c r="O20" s="148">
        <v>0</v>
      </c>
      <c r="P20" s="148">
        <v>0</v>
      </c>
      <c r="Q20" s="148">
        <v>0</v>
      </c>
      <c r="R20" s="137">
        <f t="shared" si="0"/>
        <v>52500</v>
      </c>
    </row>
    <row r="21" spans="3:18" x14ac:dyDescent="0.25">
      <c r="C21" s="146">
        <v>11</v>
      </c>
      <c r="D21" s="22" t="str">
        <f>+D20</f>
        <v>TBH - Case Manager</v>
      </c>
      <c r="E21" s="148">
        <v>0</v>
      </c>
      <c r="F21" s="148">
        <v>0</v>
      </c>
      <c r="G21" s="148">
        <v>0</v>
      </c>
      <c r="H21" s="148">
        <v>52500</v>
      </c>
      <c r="I21" s="148">
        <v>0</v>
      </c>
      <c r="J21" s="148">
        <v>0</v>
      </c>
      <c r="K21" s="148">
        <v>0</v>
      </c>
      <c r="L21" s="148">
        <v>0</v>
      </c>
      <c r="M21" s="148">
        <v>0</v>
      </c>
      <c r="N21" s="148">
        <v>0</v>
      </c>
      <c r="O21" s="148">
        <v>0</v>
      </c>
      <c r="P21" s="148">
        <v>0</v>
      </c>
      <c r="Q21" s="148">
        <v>0</v>
      </c>
      <c r="R21" s="137">
        <f t="shared" si="0"/>
        <v>52500</v>
      </c>
    </row>
    <row r="22" spans="3:18" x14ac:dyDescent="0.25">
      <c r="C22" s="146">
        <v>12</v>
      </c>
      <c r="D22" s="22" t="str">
        <f>+D21</f>
        <v>TBH - Case Manager</v>
      </c>
      <c r="E22" s="148">
        <v>0</v>
      </c>
      <c r="F22" s="148">
        <v>0</v>
      </c>
      <c r="G22" s="148">
        <v>0</v>
      </c>
      <c r="H22" s="148">
        <v>52500</v>
      </c>
      <c r="I22" s="148">
        <v>0</v>
      </c>
      <c r="J22" s="148">
        <v>0</v>
      </c>
      <c r="K22" s="148">
        <v>0</v>
      </c>
      <c r="L22" s="148">
        <v>0</v>
      </c>
      <c r="M22" s="148">
        <v>0</v>
      </c>
      <c r="N22" s="148">
        <v>0</v>
      </c>
      <c r="O22" s="148">
        <v>0</v>
      </c>
      <c r="P22" s="148">
        <v>0</v>
      </c>
      <c r="Q22" s="148">
        <v>0</v>
      </c>
      <c r="R22" s="137">
        <f t="shared" si="0"/>
        <v>52500</v>
      </c>
    </row>
    <row r="23" spans="3:18" x14ac:dyDescent="0.25">
      <c r="C23" s="146">
        <v>13</v>
      </c>
      <c r="D23" s="22" t="str">
        <f>+D22</f>
        <v>TBH - Case Manager</v>
      </c>
      <c r="E23" s="148">
        <v>0</v>
      </c>
      <c r="F23" s="148">
        <v>0</v>
      </c>
      <c r="G23" s="148">
        <v>0</v>
      </c>
      <c r="H23" s="148">
        <v>0</v>
      </c>
      <c r="I23" s="148">
        <v>0</v>
      </c>
      <c r="J23" s="148">
        <v>0</v>
      </c>
      <c r="K23" s="148">
        <v>0</v>
      </c>
      <c r="L23" s="148">
        <v>52500</v>
      </c>
      <c r="M23" s="148">
        <v>0</v>
      </c>
      <c r="N23" s="148">
        <v>0</v>
      </c>
      <c r="O23" s="148">
        <v>0</v>
      </c>
      <c r="P23" s="148">
        <v>0</v>
      </c>
      <c r="Q23" s="148">
        <v>0</v>
      </c>
      <c r="R23" s="137">
        <f t="shared" si="0"/>
        <v>52500</v>
      </c>
    </row>
    <row r="24" spans="3:18" x14ac:dyDescent="0.25">
      <c r="C24" s="146">
        <v>14</v>
      </c>
      <c r="D24" s="22" t="str">
        <f>+D22</f>
        <v>TBH - Case Manager</v>
      </c>
      <c r="E24" s="148">
        <v>50000</v>
      </c>
      <c r="F24" s="148">
        <v>0</v>
      </c>
      <c r="G24" s="148">
        <v>0</v>
      </c>
      <c r="H24" s="148">
        <v>0</v>
      </c>
      <c r="I24" s="148">
        <v>0</v>
      </c>
      <c r="J24" s="148">
        <v>0</v>
      </c>
      <c r="K24" s="148">
        <v>0</v>
      </c>
      <c r="L24" s="148">
        <v>0</v>
      </c>
      <c r="M24" s="148">
        <v>0</v>
      </c>
      <c r="N24" s="148">
        <v>0</v>
      </c>
      <c r="O24" s="148">
        <v>0</v>
      </c>
      <c r="P24" s="148">
        <v>0</v>
      </c>
      <c r="Q24" s="148">
        <v>0</v>
      </c>
      <c r="R24" s="137">
        <f t="shared" si="0"/>
        <v>50000</v>
      </c>
    </row>
    <row r="25" spans="3:18" x14ac:dyDescent="0.25">
      <c r="C25" s="146">
        <v>15</v>
      </c>
      <c r="D25" s="22" t="str">
        <f>+'FY26'!B74</f>
        <v>TBH - Annie Phillips</v>
      </c>
      <c r="E25" s="148">
        <v>0</v>
      </c>
      <c r="F25" s="148">
        <v>0</v>
      </c>
      <c r="G25" s="148">
        <v>5712</v>
      </c>
      <c r="H25" s="148">
        <v>0</v>
      </c>
      <c r="I25" s="148">
        <v>0</v>
      </c>
      <c r="J25" s="148">
        <v>0</v>
      </c>
      <c r="K25" s="148">
        <v>0</v>
      </c>
      <c r="L25" s="148">
        <v>0</v>
      </c>
      <c r="M25" s="148">
        <v>7140</v>
      </c>
      <c r="N25" s="148">
        <v>17850</v>
      </c>
      <c r="O25" s="148">
        <v>0</v>
      </c>
      <c r="P25" s="148">
        <v>14280</v>
      </c>
      <c r="Q25" s="148">
        <v>14680</v>
      </c>
      <c r="R25" s="137">
        <f t="shared" si="0"/>
        <v>59662</v>
      </c>
    </row>
    <row r="26" spans="3:18" x14ac:dyDescent="0.25">
      <c r="C26" s="146">
        <v>16</v>
      </c>
      <c r="D26" s="22" t="str">
        <f>+'FY26'!B91</f>
        <v>TBH - Ferdawok</v>
      </c>
      <c r="E26" s="148">
        <v>0</v>
      </c>
      <c r="F26" s="148">
        <v>0</v>
      </c>
      <c r="G26" s="148">
        <v>0</v>
      </c>
      <c r="H26" s="148">
        <v>0</v>
      </c>
      <c r="I26" s="148">
        <v>0</v>
      </c>
      <c r="J26" s="148">
        <v>0</v>
      </c>
      <c r="K26" s="148">
        <v>0</v>
      </c>
      <c r="L26" s="148">
        <v>0</v>
      </c>
      <c r="M26" s="148">
        <v>0</v>
      </c>
      <c r="N26" s="148">
        <v>0</v>
      </c>
      <c r="O26" s="148">
        <v>62062</v>
      </c>
      <c r="P26" s="148">
        <v>0</v>
      </c>
      <c r="Q26" s="148">
        <v>0</v>
      </c>
      <c r="R26" s="137">
        <f t="shared" si="0"/>
        <v>62062</v>
      </c>
    </row>
    <row r="27" spans="3:18" x14ac:dyDescent="0.25">
      <c r="C27" s="147">
        <v>17</v>
      </c>
      <c r="D27" s="22" t="str">
        <f>+'FY26'!B93</f>
        <v>TBH Job Developer VA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55000</v>
      </c>
      <c r="P27" s="148">
        <v>0</v>
      </c>
      <c r="Q27" s="148">
        <v>0</v>
      </c>
      <c r="R27" s="137">
        <f t="shared" si="0"/>
        <v>55000</v>
      </c>
    </row>
    <row r="28" spans="3:18" x14ac:dyDescent="0.25">
      <c r="E28" s="149">
        <f>SUM(E11:E27)</f>
        <v>100000</v>
      </c>
      <c r="F28" s="149">
        <f t="shared" ref="F28:Q28" si="1">SUM(F11:F27)</f>
        <v>26250</v>
      </c>
      <c r="G28" s="149">
        <f t="shared" si="1"/>
        <v>5712</v>
      </c>
      <c r="H28" s="149">
        <f t="shared" si="1"/>
        <v>269369</v>
      </c>
      <c r="I28" s="149">
        <f t="shared" si="1"/>
        <v>105000</v>
      </c>
      <c r="J28" s="149">
        <f t="shared" si="1"/>
        <v>27500</v>
      </c>
      <c r="K28" s="149">
        <f t="shared" si="1"/>
        <v>52500</v>
      </c>
      <c r="L28" s="149">
        <f t="shared" si="1"/>
        <v>105000</v>
      </c>
      <c r="M28" s="149">
        <f t="shared" si="1"/>
        <v>7140</v>
      </c>
      <c r="N28" s="149">
        <f t="shared" si="1"/>
        <v>17850</v>
      </c>
      <c r="O28" s="149">
        <f t="shared" si="1"/>
        <v>117062</v>
      </c>
      <c r="P28" s="149">
        <f t="shared" si="1"/>
        <v>14280</v>
      </c>
      <c r="Q28" s="149">
        <f t="shared" si="1"/>
        <v>14680</v>
      </c>
      <c r="R28" s="137">
        <f>SUM(R11:R27)</f>
        <v>862343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FY 25</vt:lpstr>
      <vt:lpstr>FY26</vt:lpstr>
      <vt:lpstr>Open Positions</vt:lpstr>
      <vt:lpstr>'FY 25'!Print_Area</vt:lpstr>
      <vt:lpstr>'FY26'!Print_Area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Shakil Tabassum</dc:creator>
  <cp:lastModifiedBy>Shakil Tabassum</cp:lastModifiedBy>
  <cp:lastPrinted>2025-12-17T20:29:29Z</cp:lastPrinted>
  <dcterms:created xsi:type="dcterms:W3CDTF">2025-05-20T15:39:15Z</dcterms:created>
  <dcterms:modified xsi:type="dcterms:W3CDTF">2025-12-17T21:19:25Z</dcterms:modified>
</cp:coreProperties>
</file>